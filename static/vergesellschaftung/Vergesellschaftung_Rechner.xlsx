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EP10" vbProcedure="false">Annahmen!$C$37</definedName>
    <definedName function="false" hidden="false" name="HH_Schulden" vbProcedure="false">Annahmen!$C$39</definedName>
    <definedName function="false" hidden="false" name="HH_Spielraum" vbProcedure="false">Annahmen!$C$38</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<sst xmlns="http://schemas.openxmlformats.org/spreadsheetml/2006/main" count="254" uniqueCount="188">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</sst>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8">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00"/>
    <numFmt numFmtId="175" formatCode="0.00%"/>
    <numFmt numFmtId="176" formatCode="@"/>
    <numFmt numFmtId="177" formatCode="0.00000"/>
    <numFmt numFmtId="178" formatCode="\+#,##0.0;[RED]\-#,##0.0"/>
    <numFmt numFmtId="179" formatCode="\+0.00;[RED]\-0.00"/>
    <numFmt numFmtId="180" formatCode="\+#,##0;[RED]\-#,##0"/>
    <numFmt numFmtId="181"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78</v>
      </c>
    </row>
    <row r="2" customFormat="false" ht="15" hidden="false" customHeight="false" outlineLevel="0" collapsed="false">
      <c r="B2" s="7" t="s">
        <v>79</v>
      </c>
    </row>
    <row r="3" customFormat="false" ht="15" hidden="false" customHeight="false" outlineLevel="0" collapsed="false">
      <c r="B3" s="23"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80</v>
      </c>
      <c r="C5" s="24" t="n">
        <f aca="false">1000*(EK_Quote*IF(Nur_Zinsen=1,Zins_EK,AF_EK)+(1-EK_Quote)*IF(Nur_Zinsen=1,Zins_FK,AF_FK))</f>
        <v>53.1314284784975</v>
      </c>
    </row>
    <row r="7" customFormat="false" ht="15" hidden="false" customHeight="false" outlineLevel="0" collapsed="false">
      <c r="B7" s="25" t="s">
        <v>81</v>
      </c>
    </row>
    <row r="8" customFormat="false" ht="15" hidden="false" customHeight="false" outlineLevel="0" collapsed="false">
      <c r="B8" s="26" t="s">
        <v>82</v>
      </c>
      <c r="C8" s="27" t="n">
        <v>4.04</v>
      </c>
      <c r="D8" s="27" t="n">
        <v>6</v>
      </c>
      <c r="E8" s="27" t="n">
        <v>7</v>
      </c>
      <c r="F8" s="27" t="n">
        <v>8</v>
      </c>
      <c r="G8" s="27" t="n">
        <v>9</v>
      </c>
    </row>
    <row r="9" customFormat="false" ht="15" hidden="false" customHeight="false" outlineLevel="0" collapsed="false">
      <c r="B9" s="28" t="n">
        <v>8</v>
      </c>
      <c r="C9" s="29" t="n">
        <f aca="false">(C$8-Bewirtschaftung)*Flaeche*12/1000000-$B9*$C$5</f>
        <v>-370.59062782798</v>
      </c>
      <c r="D9" s="29" t="n">
        <f aca="false">(D$8-Bewirtschaftung)*Flaeche*12/1000000-$B9*$C$5</f>
        <v>-26.2578278279798</v>
      </c>
      <c r="E9" s="29" t="n">
        <f aca="false">(E$8-Bewirtschaftung)*Flaeche*12/1000000-$B9*$C$5</f>
        <v>149.42217217202</v>
      </c>
      <c r="F9" s="29" t="n">
        <f aca="false">(F$8-Bewirtschaftung)*Flaeche*12/1000000-$B9*$C$5</f>
        <v>325.10217217202</v>
      </c>
      <c r="G9" s="29" t="n">
        <f aca="false">(G$8-Bewirtschaftung)*Flaeche*12/1000000-$B9*$C$5</f>
        <v>500.78217217202</v>
      </c>
    </row>
    <row r="10" customFormat="false" ht="15" hidden="false" customHeight="false" outlineLevel="0" collapsed="false">
      <c r="B10" s="28" t="n">
        <v>11</v>
      </c>
      <c r="C10" s="29" t="n">
        <f aca="false">(C$8-Bewirtschaftung)*Flaeche*12/1000000-$B10*$C$5</f>
        <v>-529.984913263472</v>
      </c>
      <c r="D10" s="29" t="n">
        <f aca="false">(D$8-Bewirtschaftung)*Flaeche*12/1000000-$B10*$C$5</f>
        <v>-185.652113263472</v>
      </c>
      <c r="E10" s="29" t="n">
        <f aca="false">(E$8-Bewirtschaftung)*Flaeche*12/1000000-$B10*$C$5</f>
        <v>-9.97211326347224</v>
      </c>
      <c r="F10" s="29" t="n">
        <f aca="false">(F$8-Bewirtschaftung)*Flaeche*12/1000000-$B10*$C$5</f>
        <v>165.707886736528</v>
      </c>
      <c r="G10" s="29" t="n">
        <f aca="false">(G$8-Bewirtschaftung)*Flaeche*12/1000000-$B10*$C$5</f>
        <v>341.387886736528</v>
      </c>
    </row>
    <row r="11" customFormat="false" ht="15" hidden="false" customHeight="false" outlineLevel="0" collapsed="false">
      <c r="B11" s="28" t="n">
        <v>13.5</v>
      </c>
      <c r="C11" s="29" t="n">
        <f aca="false">(C$8-Bewirtschaftung)*Flaeche*12/1000000-$B11*$C$5</f>
        <v>-662.813484459716</v>
      </c>
      <c r="D11" s="29" t="n">
        <f aca="false">(D$8-Bewirtschaftung)*Flaeche*12/1000000-$B11*$C$5</f>
        <v>-318.480684459716</v>
      </c>
      <c r="E11" s="29" t="n">
        <f aca="false">(E$8-Bewirtschaftung)*Flaeche*12/1000000-$B11*$C$5</f>
        <v>-142.800684459716</v>
      </c>
      <c r="F11" s="29" t="n">
        <f aca="false">(F$8-Bewirtschaftung)*Flaeche*12/1000000-$B11*$C$5</f>
        <v>32.8793155402839</v>
      </c>
      <c r="G11" s="29" t="n">
        <f aca="false">(G$8-Bewirtschaftung)*Flaeche*12/1000000-$B11*$C$5</f>
        <v>208.559315540284</v>
      </c>
    </row>
    <row r="12" customFormat="false" ht="15" hidden="false" customHeight="false" outlineLevel="0" collapsed="false">
      <c r="B12" s="28" t="n">
        <v>21</v>
      </c>
      <c r="C12" s="29" t="n">
        <f aca="false">(C$8-Bewirtschaftung)*Flaeche*12/1000000-$B12*$C$5</f>
        <v>-1061.29919804845</v>
      </c>
      <c r="D12" s="29" t="n">
        <f aca="false">(D$8-Bewirtschaftung)*Flaeche*12/1000000-$B12*$C$5</f>
        <v>-716.966398048447</v>
      </c>
      <c r="E12" s="29" t="n">
        <f aca="false">(E$8-Bewirtschaftung)*Flaeche*12/1000000-$B12*$C$5</f>
        <v>-541.286398048447</v>
      </c>
      <c r="F12" s="29" t="n">
        <f aca="false">(F$8-Bewirtschaftung)*Flaeche*12/1000000-$B12*$C$5</f>
        <v>-365.606398048447</v>
      </c>
      <c r="G12" s="29" t="n">
        <f aca="false">(G$8-Bewirtschaftung)*Flaeche*12/1000000-$B12*$C$5</f>
        <v>-189.926398048447</v>
      </c>
    </row>
    <row r="13" customFormat="false" ht="15" hidden="false" customHeight="false" outlineLevel="0" collapsed="false">
      <c r="B13" s="28" t="n">
        <v>29</v>
      </c>
      <c r="C13" s="29" t="n">
        <f aca="false">(C$8-Bewirtschaftung)*Flaeche*12/1000000-$B13*$C$5</f>
        <v>-1486.35062587643</v>
      </c>
      <c r="D13" s="29" t="n">
        <f aca="false">(D$8-Bewirtschaftung)*Flaeche*12/1000000-$B13*$C$5</f>
        <v>-1142.01782587643</v>
      </c>
      <c r="E13" s="29" t="n">
        <f aca="false">(E$8-Bewirtschaftung)*Flaeche*12/1000000-$B13*$C$5</f>
        <v>-966.337825876427</v>
      </c>
      <c r="F13" s="29" t="n">
        <f aca="false">(F$8-Bewirtschaftung)*Flaeche*12/1000000-$B13*$C$5</f>
        <v>-790.657825876427</v>
      </c>
      <c r="G13" s="29" t="n">
        <f aca="false">(G$8-Bewirtschaftung)*Flaeche*12/1000000-$B13*$C$5</f>
        <v>-614.977825876427</v>
      </c>
    </row>
    <row r="14" customFormat="false" ht="15" hidden="false" customHeight="false" outlineLevel="0" collapsed="false">
      <c r="B14" s="28" t="n">
        <v>36</v>
      </c>
      <c r="C14" s="29" t="n">
        <f aca="false">(C$8-Bewirtschaftung)*Flaeche*12/1000000-$B14*$C$5</f>
        <v>-1858.27062522591</v>
      </c>
      <c r="D14" s="29" t="n">
        <f aca="false">(D$8-Bewirtschaftung)*Flaeche*12/1000000-$B14*$C$5</f>
        <v>-1513.93782522591</v>
      </c>
      <c r="E14" s="29" t="n">
        <f aca="false">(E$8-Bewirtschaftung)*Flaeche*12/1000000-$B14*$C$5</f>
        <v>-1338.25782522591</v>
      </c>
      <c r="F14" s="29" t="n">
        <f aca="false">(F$8-Bewirtschaftung)*Flaeche*12/1000000-$B14*$C$5</f>
        <v>-1162.57782522591</v>
      </c>
      <c r="G14" s="29" t="n">
        <f aca="false">(G$8-Bewirtschaftung)*Flaeche*12/1000000-$B14*$C$5</f>
        <v>-986.897825225909</v>
      </c>
    </row>
    <row r="16" customFormat="false" ht="15" hidden="false" customHeight="false" outlineLevel="0" collapsed="false">
      <c r="B16" s="25" t="s">
        <v>83</v>
      </c>
    </row>
    <row r="17" customFormat="false" ht="15" hidden="false" customHeight="false" outlineLevel="0" collapsed="false">
      <c r="B17" s="26" t="s">
        <v>82</v>
      </c>
      <c r="C17" s="30" t="n">
        <f aca="false">C8</f>
        <v>4.04</v>
      </c>
      <c r="D17" s="30" t="n">
        <f aca="false">D8</f>
        <v>6</v>
      </c>
      <c r="E17" s="30" t="n">
        <f aca="false">E8</f>
        <v>7</v>
      </c>
      <c r="F17" s="30" t="n">
        <f aca="false">F8</f>
        <v>8</v>
      </c>
      <c r="G17" s="30" t="n">
        <f aca="false">G8</f>
        <v>9</v>
      </c>
    </row>
    <row r="18" customFormat="false" ht="15" hidden="false" customHeight="false" outlineLevel="0" collapsed="false">
      <c r="B18" s="31" t="n">
        <f aca="false">B9</f>
        <v>8</v>
      </c>
      <c r="C18" s="32" t="n">
        <f aca="false">(C$17-Bewirtschaftung)-($B18*$C$5*1000000/Flaeche/12)</f>
        <v>-2.10946395621573</v>
      </c>
      <c r="D18" s="32" t="n">
        <f aca="false">(D$17-Bewirtschaftung)-($B18*$C$5*1000000/Flaeche/12)</f>
        <v>-0.149463956215732</v>
      </c>
      <c r="E18" s="32" t="n">
        <f aca="false">(E$17-Bewirtschaftung)-($B18*$C$5*1000000/Flaeche/12)</f>
        <v>0.850536043784268</v>
      </c>
      <c r="F18" s="32" t="n">
        <f aca="false">(F$17-Bewirtschaftung)-($B18*$C$5*1000000/Flaeche/12)</f>
        <v>1.85053604378427</v>
      </c>
      <c r="G18" s="32" t="n">
        <f aca="false">(G$17-Bewirtschaftung)-($B18*$C$5*1000000/Flaeche/12)</f>
        <v>2.85053604378427</v>
      </c>
    </row>
    <row r="19" customFormat="false" ht="15" hidden="false" customHeight="false" outlineLevel="0" collapsed="false">
      <c r="B19" s="31" t="n">
        <f aca="false">B10</f>
        <v>11</v>
      </c>
      <c r="C19" s="32" t="n">
        <f aca="false">(C$17-Bewirtschaftung)-($B19*$C$5*1000000/Flaeche/12)</f>
        <v>-3.01676293979663</v>
      </c>
      <c r="D19" s="32" t="n">
        <f aca="false">(D$17-Bewirtschaftung)-($B19*$C$5*1000000/Flaeche/12)</f>
        <v>-1.05676293979663</v>
      </c>
      <c r="E19" s="32" t="n">
        <f aca="false">(E$17-Bewirtschaftung)-($B19*$C$5*1000000/Flaeche/12)</f>
        <v>-0.0567629397966321</v>
      </c>
      <c r="F19" s="32" t="n">
        <f aca="false">(F$17-Bewirtschaftung)-($B19*$C$5*1000000/Flaeche/12)</f>
        <v>0.943237060203368</v>
      </c>
      <c r="G19" s="32" t="n">
        <f aca="false">(G$17-Bewirtschaftung)-($B19*$C$5*1000000/Flaeche/12)</f>
        <v>1.94323706020337</v>
      </c>
    </row>
    <row r="20" customFormat="false" ht="15" hidden="false" customHeight="false" outlineLevel="0" collapsed="false">
      <c r="B20" s="31" t="n">
        <f aca="false">B11</f>
        <v>13.5</v>
      </c>
      <c r="C20" s="32" t="n">
        <f aca="false">(C$17-Bewirtschaftung)-($B20*$C$5*1000000/Flaeche/12)</f>
        <v>-3.77284542611405</v>
      </c>
      <c r="D20" s="32" t="n">
        <f aca="false">(D$17-Bewirtschaftung)-($B20*$C$5*1000000/Flaeche/12)</f>
        <v>-1.81284542611405</v>
      </c>
      <c r="E20" s="32" t="n">
        <f aca="false">(E$17-Bewirtschaftung)-($B20*$C$5*1000000/Flaeche/12)</f>
        <v>-0.812845426114048</v>
      </c>
      <c r="F20" s="32" t="n">
        <f aca="false">(F$17-Bewirtschaftung)-($B20*$C$5*1000000/Flaeche/12)</f>
        <v>0.187154573885952</v>
      </c>
      <c r="G20" s="32" t="n">
        <f aca="false">(G$17-Bewirtschaftung)-($B20*$C$5*1000000/Flaeche/12)</f>
        <v>1.18715457388595</v>
      </c>
    </row>
    <row r="21" customFormat="false" ht="15" hidden="false" customHeight="false" outlineLevel="0" collapsed="false">
      <c r="B21" s="31" t="n">
        <f aca="false">B12</f>
        <v>21</v>
      </c>
      <c r="C21" s="32" t="n">
        <f aca="false">(C$17-Bewirtschaftung)-($B21*$C$5*1000000/Flaeche/12)</f>
        <v>-6.0410928850663</v>
      </c>
      <c r="D21" s="32" t="n">
        <f aca="false">(D$17-Bewirtschaftung)-($B21*$C$5*1000000/Flaeche/12)</f>
        <v>-4.0810928850663</v>
      </c>
      <c r="E21" s="32" t="n">
        <f aca="false">(E$17-Bewirtschaftung)-($B21*$C$5*1000000/Flaeche/12)</f>
        <v>-3.0810928850663</v>
      </c>
      <c r="F21" s="32" t="n">
        <f aca="false">(F$17-Bewirtschaftung)-($B21*$C$5*1000000/Flaeche/12)</f>
        <v>-2.0810928850663</v>
      </c>
      <c r="G21" s="32" t="n">
        <f aca="false">(G$17-Bewirtschaftung)-($B21*$C$5*1000000/Flaeche/12)</f>
        <v>-1.0810928850663</v>
      </c>
    </row>
    <row r="22" customFormat="false" ht="15" hidden="false" customHeight="false" outlineLevel="0" collapsed="false">
      <c r="B22" s="31" t="n">
        <f aca="false">B13</f>
        <v>29</v>
      </c>
      <c r="C22" s="32" t="n">
        <f aca="false">(C$17-Bewirtschaftung)-($B22*$C$5*1000000/Flaeche/12)</f>
        <v>-8.46055684128203</v>
      </c>
      <c r="D22" s="32" t="n">
        <f aca="false">(D$17-Bewirtschaftung)-($B22*$C$5*1000000/Flaeche/12)</f>
        <v>-6.50055684128203</v>
      </c>
      <c r="E22" s="32" t="n">
        <f aca="false">(E$17-Bewirtschaftung)-($B22*$C$5*1000000/Flaeche/12)</f>
        <v>-5.50055684128203</v>
      </c>
      <c r="F22" s="32" t="n">
        <f aca="false">(F$17-Bewirtschaftung)-($B22*$C$5*1000000/Flaeche/12)</f>
        <v>-4.50055684128203</v>
      </c>
      <c r="G22" s="32" t="n">
        <f aca="false">(G$17-Bewirtschaftung)-($B22*$C$5*1000000/Flaeche/12)</f>
        <v>-3.50055684128203</v>
      </c>
    </row>
    <row r="23" customFormat="false" ht="15" hidden="false" customHeight="false" outlineLevel="0" collapsed="false">
      <c r="B23" s="31" t="n">
        <f aca="false">B14</f>
        <v>36</v>
      </c>
      <c r="C23" s="32" t="n">
        <f aca="false">(C$17-Bewirtschaftung)-($B23*$C$5*1000000/Flaeche/12)</f>
        <v>-10.5775878029708</v>
      </c>
      <c r="D23" s="32" t="n">
        <f aca="false">(D$17-Bewirtschaftung)-($B23*$C$5*1000000/Flaeche/12)</f>
        <v>-8.61758780297079</v>
      </c>
      <c r="E23" s="32" t="n">
        <f aca="false">(E$17-Bewirtschaftung)-($B23*$C$5*1000000/Flaeche/12)</f>
        <v>-7.61758780297079</v>
      </c>
      <c r="F23" s="32" t="n">
        <f aca="false">(F$17-Bewirtschaftung)-($B23*$C$5*1000000/Flaeche/12)</f>
        <v>-6.61758780297079</v>
      </c>
      <c r="G23" s="32" t="n">
        <f aca="false">(G$17-Bewirtschaftung)-($B23*$C$5*1000000/Flaeche/12)</f>
        <v>-5.61758780297079</v>
      </c>
    </row>
    <row r="25" customFormat="false" ht="15" hidden="false" customHeight="false" outlineLevel="0" collapsed="false">
      <c r="B25" s="7" t="s">
        <v>84</v>
      </c>
    </row>
    <row r="26" customFormat="false" ht="15" hidden="false" customHeight="true" outlineLevel="0" collapsed="false">
      <c r="B26" s="33" t="s">
        <v>85</v>
      </c>
      <c r="C26" s="33"/>
      <c r="D26" s="33"/>
      <c r="E26" s="33"/>
      <c r="F26" s="33"/>
      <c r="G26" s="33"/>
    </row>
    <row r="27" customFormat="false" ht="15" hidden="false" customHeight="false" outlineLevel="0" collapsed="false">
      <c r="B27" s="33"/>
      <c r="C27" s="33"/>
      <c r="D27" s="33"/>
      <c r="E27" s="33"/>
      <c r="F27" s="33"/>
      <c r="G27" s="33"/>
    </row>
    <row r="28" customFormat="false" ht="15" hidden="false" customHeight="false" outlineLevel="0" collapsed="false">
      <c r="B28" s="33"/>
      <c r="C28" s="33"/>
      <c r="D28" s="33"/>
      <c r="E28" s="33"/>
      <c r="F28" s="33"/>
      <c r="G28" s="33"/>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86</v>
      </c>
    </row>
    <row r="2" customFormat="false" ht="15" hidden="false" customHeight="false" outlineLevel="0" collapsed="false">
      <c r="B2" s="7" t="s">
        <v>87</v>
      </c>
    </row>
    <row r="4" customFormat="false" ht="15" hidden="false" customHeight="false" outlineLevel="0" collapsed="false">
      <c r="B4" s="9" t="s">
        <v>88</v>
      </c>
      <c r="C4" s="9" t="s">
        <v>22</v>
      </c>
      <c r="D4" s="9" t="s">
        <v>89</v>
      </c>
      <c r="E4" s="9" t="s">
        <v>23</v>
      </c>
      <c r="F4" s="9" t="s">
        <v>90</v>
      </c>
    </row>
    <row r="5" customFormat="false" ht="22.35" hidden="false" customHeight="false" outlineLevel="0" collapsed="false">
      <c r="B5" s="12" t="s">
        <v>91</v>
      </c>
      <c r="C5" s="34" t="n">
        <v>13.5</v>
      </c>
      <c r="D5" s="35" t="n">
        <v>13.5</v>
      </c>
      <c r="E5" s="12" t="s">
        <v>73</v>
      </c>
      <c r="F5" s="36" t="s">
        <v>92</v>
      </c>
    </row>
    <row r="6" customFormat="false" ht="15" hidden="false" customHeight="false" outlineLevel="0" collapsed="false">
      <c r="B6" s="12" t="s">
        <v>93</v>
      </c>
      <c r="C6" s="37" t="n">
        <v>240000</v>
      </c>
      <c r="D6" s="38" t="n">
        <v>240000</v>
      </c>
      <c r="E6" s="12" t="s">
        <v>94</v>
      </c>
      <c r="F6" s="36" t="s">
        <v>95</v>
      </c>
    </row>
    <row r="7" customFormat="false" ht="15" hidden="false" customHeight="false" outlineLevel="0" collapsed="false">
      <c r="B7" s="12" t="s">
        <v>96</v>
      </c>
      <c r="C7" s="37" t="n">
        <v>61</v>
      </c>
      <c r="D7" s="38" t="n">
        <v>61</v>
      </c>
      <c r="E7" s="12" t="s">
        <v>97</v>
      </c>
      <c r="F7" s="36" t="s">
        <v>98</v>
      </c>
    </row>
    <row r="8" customFormat="false" ht="43.25" hidden="false" customHeight="false" outlineLevel="0" collapsed="false">
      <c r="B8" s="12" t="s">
        <v>99</v>
      </c>
      <c r="C8" s="39" t="n">
        <v>7</v>
      </c>
      <c r="D8" s="40" t="n">
        <v>7</v>
      </c>
      <c r="E8" s="12" t="s">
        <v>76</v>
      </c>
      <c r="F8" s="36" t="s">
        <v>100</v>
      </c>
    </row>
    <row r="9" customFormat="false" ht="22.35" hidden="false" customHeight="false" outlineLevel="0" collapsed="false">
      <c r="B9" s="12" t="s">
        <v>101</v>
      </c>
      <c r="C9" s="41" t="n">
        <v>0.01</v>
      </c>
      <c r="D9" s="42" t="n">
        <v>0.01</v>
      </c>
      <c r="E9" s="12" t="s">
        <v>102</v>
      </c>
      <c r="F9" s="36" t="s">
        <v>103</v>
      </c>
    </row>
    <row r="10" customFormat="false" ht="32.8" hidden="false" customHeight="false" outlineLevel="0" collapsed="false">
      <c r="B10" s="12" t="s">
        <v>104</v>
      </c>
      <c r="C10" s="43" t="n">
        <v>3.73</v>
      </c>
      <c r="D10" s="40" t="n">
        <v>3.73</v>
      </c>
      <c r="E10" s="12" t="s">
        <v>76</v>
      </c>
      <c r="F10" s="36" t="s">
        <v>105</v>
      </c>
    </row>
    <row r="11" customFormat="false" ht="15" hidden="false" customHeight="false" outlineLevel="0" collapsed="false">
      <c r="B11" s="12" t="s">
        <v>106</v>
      </c>
      <c r="C11" s="20" t="n">
        <v>0.02</v>
      </c>
      <c r="D11" s="42" t="n">
        <v>0.02</v>
      </c>
      <c r="E11" s="12" t="s">
        <v>102</v>
      </c>
      <c r="F11" s="36" t="s">
        <v>107</v>
      </c>
    </row>
    <row r="12" customFormat="false" ht="15" hidden="false" customHeight="false" outlineLevel="0" collapsed="false">
      <c r="B12" s="12" t="s">
        <v>108</v>
      </c>
      <c r="C12" s="44" t="n">
        <v>0.2</v>
      </c>
      <c r="D12" s="42" t="n">
        <v>0.2</v>
      </c>
      <c r="E12" s="12" t="s">
        <v>109</v>
      </c>
      <c r="F12" s="36" t="s">
        <v>110</v>
      </c>
    </row>
    <row r="13" customFormat="false" ht="15" hidden="false" customHeight="false" outlineLevel="0" collapsed="false">
      <c r="B13" s="12" t="s">
        <v>111</v>
      </c>
      <c r="C13" s="45" t="n">
        <v>0.04</v>
      </c>
      <c r="D13" s="46" t="n">
        <v>0.04</v>
      </c>
      <c r="E13" s="12" t="s">
        <v>102</v>
      </c>
      <c r="F13" s="36" t="s">
        <v>112</v>
      </c>
    </row>
    <row r="14" customFormat="false" ht="32.8" hidden="false" customHeight="false" outlineLevel="0" collapsed="false">
      <c r="B14" s="12" t="s">
        <v>113</v>
      </c>
      <c r="C14" s="45" t="n">
        <v>0.05</v>
      </c>
      <c r="D14" s="46" t="n">
        <v>0.05</v>
      </c>
      <c r="E14" s="12" t="s">
        <v>102</v>
      </c>
      <c r="F14" s="36" t="s">
        <v>114</v>
      </c>
    </row>
    <row r="15" customFormat="false" ht="15" hidden="false" customHeight="false" outlineLevel="0" collapsed="false">
      <c r="B15" s="12" t="s">
        <v>115</v>
      </c>
      <c r="C15" s="47" t="n">
        <v>50</v>
      </c>
      <c r="D15" s="48" t="n">
        <v>50</v>
      </c>
      <c r="E15" s="12" t="s">
        <v>49</v>
      </c>
      <c r="F15" s="36" t="s">
        <v>116</v>
      </c>
    </row>
    <row r="16" customFormat="false" ht="15" hidden="false" customHeight="false" outlineLevel="0" collapsed="false">
      <c r="B16" s="12" t="s">
        <v>117</v>
      </c>
      <c r="C16" s="47" t="n">
        <v>50</v>
      </c>
      <c r="D16" s="48" t="n">
        <v>50</v>
      </c>
      <c r="E16" s="12" t="s">
        <v>49</v>
      </c>
      <c r="F16" s="36" t="s">
        <v>118</v>
      </c>
    </row>
    <row r="17" customFormat="false" ht="15" hidden="false" customHeight="false" outlineLevel="0" collapsed="false">
      <c r="B17" s="12" t="s">
        <v>119</v>
      </c>
      <c r="C17" s="49" t="s">
        <v>120</v>
      </c>
      <c r="D17" s="50" t="s">
        <v>120</v>
      </c>
      <c r="E17" s="12" t="s">
        <v>121</v>
      </c>
      <c r="F17" s="36" t="s">
        <v>122</v>
      </c>
    </row>
    <row r="18" customFormat="false" ht="15" hidden="false" customHeight="false" outlineLevel="0" collapsed="false">
      <c r="B18" s="12" t="s">
        <v>48</v>
      </c>
      <c r="C18" s="47" t="n">
        <v>50</v>
      </c>
      <c r="D18" s="48" t="n">
        <v>50</v>
      </c>
      <c r="E18" s="12" t="s">
        <v>123</v>
      </c>
      <c r="F18" s="36" t="s">
        <v>124</v>
      </c>
    </row>
    <row r="19" customFormat="false" ht="15" hidden="false" customHeight="false" outlineLevel="0" collapsed="false">
      <c r="B19" s="12" t="s">
        <v>125</v>
      </c>
      <c r="C19" s="51"/>
      <c r="D19" s="46"/>
      <c r="E19" s="12" t="s">
        <v>102</v>
      </c>
      <c r="F19" s="36" t="s">
        <v>126</v>
      </c>
    </row>
    <row r="21" customFormat="false" ht="15" hidden="false" customHeight="false" outlineLevel="0" collapsed="false">
      <c r="B21" s="25" t="s">
        <v>127</v>
      </c>
    </row>
    <row r="22" customFormat="false" ht="15" hidden="false" customHeight="false" outlineLevel="0" collapsed="false">
      <c r="B22" s="9" t="s">
        <v>128</v>
      </c>
      <c r="C22" s="9" t="s">
        <v>22</v>
      </c>
      <c r="D22" s="9"/>
      <c r="E22" s="9" t="s">
        <v>23</v>
      </c>
      <c r="F22" s="9" t="s">
        <v>24</v>
      </c>
    </row>
    <row r="23" customFormat="false" ht="15" hidden="false" customHeight="false" outlineLevel="0" collapsed="false">
      <c r="B23" s="12" t="s">
        <v>129</v>
      </c>
      <c r="C23" s="15" t="n">
        <f aca="false">Wohnungen*Flaeche_je_WE</f>
        <v>14640000</v>
      </c>
      <c r="E23" s="12" t="s">
        <v>97</v>
      </c>
      <c r="F23" s="13" t="s">
        <v>130</v>
      </c>
    </row>
    <row r="24" customFormat="false" ht="15" hidden="false" customHeight="false" outlineLevel="0" collapsed="false">
      <c r="B24" s="12" t="s">
        <v>131</v>
      </c>
      <c r="C24" s="15" t="n">
        <f aca="false">EK_Quote*Entschaedigung*1000</f>
        <v>2700</v>
      </c>
      <c r="E24" s="12" t="s">
        <v>26</v>
      </c>
      <c r="F24" s="13" t="s">
        <v>66</v>
      </c>
    </row>
    <row r="25" customFormat="false" ht="15" hidden="false" customHeight="false" outlineLevel="0" collapsed="false">
      <c r="B25" s="12" t="s">
        <v>132</v>
      </c>
      <c r="C25" s="15" t="n">
        <f aca="false">(1-EK_Quote)*Entschaedigung*1000</f>
        <v>10800</v>
      </c>
      <c r="E25" s="12" t="s">
        <v>26</v>
      </c>
      <c r="F25" s="13" t="s">
        <v>133</v>
      </c>
    </row>
    <row r="26" customFormat="false" ht="15" hidden="false" customHeight="false" outlineLevel="0" collapsed="false">
      <c r="B26" s="12" t="s">
        <v>134</v>
      </c>
      <c r="C26" s="19" t="n">
        <f aca="false">IF(Tilgung="nur Zinsen",1,0)</f>
        <v>0</v>
      </c>
      <c r="E26" s="12"/>
      <c r="F26" s="13"/>
    </row>
    <row r="27" customFormat="false" ht="15" hidden="false" customHeight="false" outlineLevel="0" collapsed="false">
      <c r="B27" s="12" t="s">
        <v>135</v>
      </c>
      <c r="C27" s="52" t="n">
        <f aca="false">IF(Zins_EK=0,1/Laufzeit_EK,Zins_EK/(1-(1+Zins_EK)^(-Laufzeit_EK)))</f>
        <v>0.0465502004495415</v>
      </c>
      <c r="E27" s="12"/>
      <c r="F27" s="13" t="s">
        <v>136</v>
      </c>
    </row>
    <row r="28" customFormat="false" ht="15" hidden="false" customHeight="false" outlineLevel="0" collapsed="false">
      <c r="B28" s="12" t="s">
        <v>137</v>
      </c>
      <c r="C28" s="52" t="n">
        <f aca="false">IF(Zins_FK=0,1/Laufzeit_FK,Zins_FK/(1-(1+Zins_FK)^(-Laufzeit_FK)))</f>
        <v>0.0547767354857365</v>
      </c>
      <c r="E28" s="12"/>
      <c r="F28" s="13" t="s">
        <v>136</v>
      </c>
    </row>
    <row r="29" customFormat="false" ht="15" hidden="false" customHeight="false" outlineLevel="0" collapsed="false">
      <c r="B29" s="12" t="s">
        <v>138</v>
      </c>
      <c r="C29" s="21" t="n">
        <f aca="false">Eigenkapital*IF(Nur_Zinsen=1,Zins_EK,AF_EK)</f>
        <v>125.685541213762</v>
      </c>
      <c r="E29" s="12" t="s">
        <v>26</v>
      </c>
      <c r="F29" s="13" t="s">
        <v>139</v>
      </c>
    </row>
    <row r="30" customFormat="false" ht="15" hidden="false" customHeight="false" outlineLevel="0" collapsed="false">
      <c r="B30" s="12" t="s">
        <v>140</v>
      </c>
      <c r="C30" s="21" t="n">
        <f aca="false">Fremdkapital*IF(Nur_Zinsen=1,Zins_FK,AF_FK)</f>
        <v>591.588743245954</v>
      </c>
      <c r="E30" s="12" t="s">
        <v>26</v>
      </c>
      <c r="F30" s="13" t="s">
        <v>141</v>
      </c>
    </row>
    <row r="31" customFormat="false" ht="15" hidden="false" customHeight="false" outlineLevel="0" collapsed="false">
      <c r="B31" s="12" t="s">
        <v>142</v>
      </c>
      <c r="C31" s="53" t="n">
        <f aca="false">IF(ISBLANK(Diskont_Eingabe),Zins_EK,Diskont_Eingabe)</f>
        <v>0.04</v>
      </c>
      <c r="E31" s="12" t="s">
        <v>102</v>
      </c>
      <c r="F31" s="13" t="s">
        <v>143</v>
      </c>
    </row>
    <row r="33" customFormat="false" ht="15" hidden="false" customHeight="false" outlineLevel="0" collapsed="false">
      <c r="B33" s="25" t="s">
        <v>144</v>
      </c>
    </row>
    <row r="34" customFormat="false" ht="15" hidden="false" customHeight="false" outlineLevel="0" collapsed="false">
      <c r="B34" s="9" t="s">
        <v>128</v>
      </c>
      <c r="C34" s="9" t="s">
        <v>22</v>
      </c>
      <c r="D34" s="9"/>
      <c r="E34" s="9" t="s">
        <v>23</v>
      </c>
      <c r="F34" s="9" t="s">
        <v>145</v>
      </c>
    </row>
    <row r="35" customFormat="false" ht="22.35" hidden="false" customHeight="false" outlineLevel="0" collapsed="false">
      <c r="B35" s="12" t="s">
        <v>146</v>
      </c>
      <c r="C35" s="37" t="n">
        <v>45900</v>
      </c>
      <c r="E35" s="12" t="s">
        <v>26</v>
      </c>
      <c r="F35" s="36" t="s">
        <v>147</v>
      </c>
    </row>
    <row r="36" customFormat="false" ht="15" hidden="false" customHeight="false" outlineLevel="0" collapsed="false">
      <c r="B36" s="12" t="s">
        <v>148</v>
      </c>
      <c r="C36" s="37" t="n">
        <v>4600</v>
      </c>
      <c r="E36" s="12" t="s">
        <v>26</v>
      </c>
      <c r="F36" s="36" t="s">
        <v>149</v>
      </c>
    </row>
    <row r="37" customFormat="false" ht="15" hidden="false" customHeight="false" outlineLevel="0" collapsed="false">
      <c r="B37" s="12" t="s">
        <v>150</v>
      </c>
      <c r="C37" s="37" t="n">
        <v>5430</v>
      </c>
      <c r="E37" s="12" t="s">
        <v>26</v>
      </c>
      <c r="F37" s="36" t="s">
        <v>151</v>
      </c>
    </row>
    <row r="38" customFormat="false" ht="15" hidden="false" customHeight="false" outlineLevel="0" collapsed="false">
      <c r="B38" s="12" t="s">
        <v>152</v>
      </c>
      <c r="C38" s="37" t="n">
        <v>800</v>
      </c>
      <c r="E38" s="12" t="s">
        <v>26</v>
      </c>
      <c r="F38" s="36" t="s">
        <v>153</v>
      </c>
    </row>
    <row r="39" customFormat="false" ht="15" hidden="false" customHeight="false" outlineLevel="0" collapsed="false">
      <c r="B39" s="12" t="s">
        <v>154</v>
      </c>
      <c r="C39" s="37" t="n">
        <v>69000</v>
      </c>
      <c r="E39" s="12" t="s">
        <v>26</v>
      </c>
      <c r="F39" s="36" t="s">
        <v>155</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156</v>
      </c>
    </row>
    <row r="2" customFormat="false" ht="15" hidden="false" customHeight="false" outlineLevel="0" collapsed="false">
      <c r="A2" s="7" t="s">
        <v>157</v>
      </c>
    </row>
    <row r="4" customFormat="false" ht="54" hidden="false" customHeight="true" outlineLevel="0" collapsed="false">
      <c r="A4" s="54" t="s">
        <v>61</v>
      </c>
      <c r="B4" s="54" t="s">
        <v>158</v>
      </c>
      <c r="C4" s="54" t="s">
        <v>159</v>
      </c>
      <c r="D4" s="54" t="s">
        <v>160</v>
      </c>
      <c r="E4" s="54" t="s">
        <v>161</v>
      </c>
      <c r="F4" s="54" t="s">
        <v>162</v>
      </c>
      <c r="G4" s="54" t="s">
        <v>163</v>
      </c>
      <c r="H4" s="54" t="s">
        <v>164</v>
      </c>
      <c r="I4" s="54" t="s">
        <v>37</v>
      </c>
      <c r="J4" s="54" t="s">
        <v>165</v>
      </c>
      <c r="K4" s="54" t="s">
        <v>166</v>
      </c>
      <c r="L4" s="54" t="s">
        <v>167</v>
      </c>
      <c r="M4" s="54" t="s">
        <v>168</v>
      </c>
      <c r="N4" s="54" t="s">
        <v>169</v>
      </c>
      <c r="O4" s="54" t="s">
        <v>170</v>
      </c>
      <c r="P4" s="54" t="s">
        <v>171</v>
      </c>
      <c r="Q4" s="54" t="s">
        <v>172</v>
      </c>
      <c r="R4" s="54" t="s">
        <v>173</v>
      </c>
      <c r="S4" s="54" t="s">
        <v>54</v>
      </c>
      <c r="T4" s="54" t="s">
        <v>174</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5" t="n">
        <f aca="false">IF($B5=1,G5-J5,"")</f>
        <v>-142.800684459716</v>
      </c>
      <c r="L5" s="56" t="n">
        <f aca="false">IF($B5=1,K5*1000000/Flaeche/12,"")</f>
        <v>-0.812845426114048</v>
      </c>
      <c r="M5" s="57" t="n">
        <f aca="false">IF($B5=1,K5*1000000/Wohnungen/12,"")</f>
        <v>-49.5835709929569</v>
      </c>
      <c r="N5" s="57" t="n">
        <f aca="false">IF($B5=1,K5,"")</f>
        <v>-142.800684459716</v>
      </c>
      <c r="O5" s="55"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8" t="n">
        <f aca="false">IF($B5=1,1/(1+Diskontsatz)^$A5,"")</f>
        <v>0.961538461538462</v>
      </c>
      <c r="S5" s="55"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5" t="n">
        <f aca="false">IF($B6=1,G6-J6,"")</f>
        <v>-143.608812459716</v>
      </c>
      <c r="L6" s="56" t="n">
        <f aca="false">IF($B6=1,K6*1000000/Flaeche/12,"")</f>
        <v>-0.817445426114048</v>
      </c>
      <c r="M6" s="57" t="n">
        <f aca="false">IF($B6=1,K6*1000000/Wohnungen/12,"")</f>
        <v>-49.8641709929569</v>
      </c>
      <c r="N6" s="57" t="n">
        <f aca="false">IF($B6=1,N5+K6,"")</f>
        <v>-286.409496919432</v>
      </c>
      <c r="O6" s="55"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8" t="n">
        <f aca="false">IF($B6=1,1/(1+Diskontsatz)^$A6,"")</f>
        <v>0.924556213017751</v>
      </c>
      <c r="S6" s="55"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5" t="n">
        <f aca="false">IF($B7=1,G7-J7,"")</f>
        <v>-144.556079019716</v>
      </c>
      <c r="L7" s="56" t="n">
        <f aca="false">IF($B7=1,K7*1000000/Flaeche/12,"")</f>
        <v>-0.822837426114048</v>
      </c>
      <c r="M7" s="57" t="n">
        <f aca="false">IF($B7=1,K7*1000000/Wohnungen/12,"")</f>
        <v>-50.1930829929569</v>
      </c>
      <c r="N7" s="57" t="n">
        <f aca="false">IF($B7=1,N6+K7,"")</f>
        <v>-430.965575939148</v>
      </c>
      <c r="O7" s="55"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8" t="n">
        <f aca="false">IF($B7=1,1/(1+Diskontsatz)^$A7,"")</f>
        <v>0.888996358670915</v>
      </c>
      <c r="S7" s="55"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5" t="n">
        <f aca="false">IF($B8=1,G8-J8,"")</f>
        <v>-145.646496670916</v>
      </c>
      <c r="L8" s="56" t="n">
        <f aca="false">IF($B8=1,K8*1000000/Flaeche/12,"")</f>
        <v>-0.829044266114046</v>
      </c>
      <c r="M8" s="57" t="n">
        <f aca="false">IF($B8=1,K8*1000000/Wohnungen/12,"")</f>
        <v>-50.5717002329568</v>
      </c>
      <c r="N8" s="57" t="n">
        <f aca="false">IF($B8=1,N7+K8,"")</f>
        <v>-576.612072610063</v>
      </c>
      <c r="O8" s="55"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8" t="n">
        <f aca="false">IF($B8=1,1/(1+Diskontsatz)^$A8,"")</f>
        <v>0.854804191029726</v>
      </c>
      <c r="S8" s="55"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5" t="n">
        <f aca="false">IF($B9=1,G9-J9,"")</f>
        <v>-146.88417049274</v>
      </c>
      <c r="L9" s="56" t="n">
        <f aca="false">IF($B9=1,K9*1000000/Flaeche/12,"")</f>
        <v>-0.836089312914049</v>
      </c>
      <c r="M9" s="57" t="n">
        <f aca="false">IF($B9=1,K9*1000000/Wohnungen/12,"")</f>
        <v>-51.001448087757</v>
      </c>
      <c r="N9" s="57" t="n">
        <f aca="false">IF($B9=1,N8+K9,"")</f>
        <v>-723.496243102803</v>
      </c>
      <c r="O9" s="55"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8" t="n">
        <f aca="false">IF($B9=1,1/(1+Diskontsatz)^$A9,"")</f>
        <v>0.821927106759352</v>
      </c>
      <c r="S9" s="55"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5" t="n">
        <f aca="false">IF($B10=1,G10-J10,"")</f>
        <v>-148.273300086776</v>
      </c>
      <c r="L10" s="56" t="n">
        <f aca="false">IF($B10=1,K10*1000000/Flaeche/12,"")</f>
        <v>-0.843996471350047</v>
      </c>
      <c r="M10" s="57" t="n">
        <f aca="false">IF($B10=1,K10*1000000/Wohnungen/12,"")</f>
        <v>-51.4837847523529</v>
      </c>
      <c r="N10" s="57" t="n">
        <f aca="false">IF($B10=1,N9+K10,"")</f>
        <v>-871.76954318958</v>
      </c>
      <c r="O10" s="55"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8" t="n">
        <f aca="false">IF($B10=1,1/(1+Diskontsatz)^$A10,"")</f>
        <v>0.790314525730146</v>
      </c>
      <c r="S10" s="55"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5" t="n">
        <f aca="false">IF($B11=1,G11-J11,"")</f>
        <v>-149.818181591427</v>
      </c>
      <c r="L11" s="56" t="n">
        <f aca="false">IF($B11=1,K11*1000000/Flaeche/12,"")</f>
        <v>-0.852790195761768</v>
      </c>
      <c r="M11" s="57" t="n">
        <f aca="false">IF($B11=1,K11*1000000/Wohnungen/12,"")</f>
        <v>-52.0202019414679</v>
      </c>
      <c r="N11" s="57" t="n">
        <f aca="false">IF($B11=1,N10+K11,"")</f>
        <v>-1021.58772478101</v>
      </c>
      <c r="O11" s="55"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8" t="n">
        <f aca="false">IF($B11=1,1/(1+Diskontsatz)^$A11,"")</f>
        <v>0.759917813202063</v>
      </c>
      <c r="S11" s="55"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5" t="n">
        <f aca="false">IF($B12=1,G12-J12,"")</f>
        <v>-151.523209738093</v>
      </c>
      <c r="L12" s="56" t="n">
        <f aca="false">IF($B12=1,K12*1000000/Flaeche/12,"")</f>
        <v>-0.862495501696793</v>
      </c>
      <c r="M12" s="57" t="n">
        <f aca="false">IF($B12=1,K12*1000000/Wohnungen/12,"")</f>
        <v>-52.6122256035044</v>
      </c>
      <c r="N12" s="57" t="n">
        <f aca="false">IF($B12=1,N11+K12,"")</f>
        <v>-1173.1109345191</v>
      </c>
      <c r="O12" s="55"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8" t="n">
        <f aca="false">IF($B12=1,1/(1+Diskontsatz)^$A12,"")</f>
        <v>0.730690205001984</v>
      </c>
      <c r="S12" s="55"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5" t="n">
        <f aca="false">IF($B13=1,G13-J13,"")</f>
        <v>-153.392879949731</v>
      </c>
      <c r="L13" s="56" t="n">
        <f aca="false">IF($B13=1,K13*1000000/Flaeche/12,"")</f>
        <v>-0.873137977855937</v>
      </c>
      <c r="M13" s="57" t="n">
        <f aca="false">IF($B13=1,K13*1000000/Wohnungen/12,"")</f>
        <v>-53.2614166492122</v>
      </c>
      <c r="N13" s="57" t="n">
        <f aca="false">IF($B13=1,N12+K13,"")</f>
        <v>-1326.50381446883</v>
      </c>
      <c r="O13" s="55"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8" t="n">
        <f aca="false">IF($B13=1,1/(1+Diskontsatz)^$A13,"")</f>
        <v>0.702586735578831</v>
      </c>
      <c r="S13" s="55"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5" t="n">
        <f aca="false">IF($B14=1,G14-J14,"")</f>
        <v>-155.431790482664</v>
      </c>
      <c r="L14" s="56" t="n">
        <f aca="false">IF($B14=1,K14*1000000/Flaeche/12,"")</f>
        <v>-0.884743798284743</v>
      </c>
      <c r="M14" s="57" t="n">
        <f aca="false">IF($B14=1,K14*1000000/Wohnungen/12,"")</f>
        <v>-53.9693716953693</v>
      </c>
      <c r="N14" s="57" t="n">
        <f aca="false">IF($B14=1,N13+K14,"")</f>
        <v>-1481.93560495149</v>
      </c>
      <c r="O14" s="55"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8" t="n">
        <f aca="false">IF($B14=1,1/(1+Diskontsatz)^$A14,"")</f>
        <v>0.675564168825799</v>
      </c>
      <c r="S14" s="55"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5" t="n">
        <f aca="false">IF($B15=1,G15-J15,"")</f>
        <v>-157.644644612486</v>
      </c>
      <c r="L15" s="56" t="n">
        <f aca="false">IF($B15=1,K15*1000000/Flaeche/12,"")</f>
        <v>-0.897339734816061</v>
      </c>
      <c r="M15" s="57" t="n">
        <f aca="false">IF($B15=1,K15*1000000/Wohnungen/12,"")</f>
        <v>-54.7377238237797</v>
      </c>
      <c r="N15" s="57" t="n">
        <f aca="false">IF($B15=1,N14+K15,"")</f>
        <v>-1639.58024956398</v>
      </c>
      <c r="O15" s="55"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8" t="n">
        <f aca="false">IF($B15=1,1/(1+Diskontsatz)^$A15,"")</f>
        <v>0.649580931563268</v>
      </c>
      <c r="S15" s="55"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5" t="n">
        <f aca="false">IF($B16=1,G16-J16,"")</f>
        <v>-160.036252864998</v>
      </c>
      <c r="L16" s="56" t="n">
        <f aca="false">IF($B16=1,K16*1000000/Flaeche/12,"")</f>
        <v>-0.910953169768886</v>
      </c>
      <c r="M16" s="57" t="n">
        <f aca="false">IF($B16=1,K16*1000000/Wohnungen/12,"")</f>
        <v>-55.568143355902</v>
      </c>
      <c r="N16" s="57" t="n">
        <f aca="false">IF($B16=1,N15+K16,"")</f>
        <v>-1799.61650242898</v>
      </c>
      <c r="O16" s="55"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8" t="n">
        <f aca="false">IF($B16=1,1/(1+Diskontsatz)^$A16,"")</f>
        <v>0.624597049580065</v>
      </c>
      <c r="S16" s="55"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5" t="n">
        <f aca="false">IF($B17=1,G17-J17,"")</f>
        <v>-162.611535293055</v>
      </c>
      <c r="L17" s="56" t="n">
        <f aca="false">IF($B17=1,K17*1000000/Flaeche/12,"")</f>
        <v>-0.925612108908555</v>
      </c>
      <c r="M17" s="57" t="n">
        <f aca="false">IF($B17=1,K17*1000000/Wohnungen/12,"")</f>
        <v>-56.4623386434219</v>
      </c>
      <c r="N17" s="57" t="n">
        <f aca="false">IF($B17=1,N16+K17,"")</f>
        <v>-1962.22803772203</v>
      </c>
      <c r="O17" s="55"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8" t="n">
        <f aca="false">IF($B17=1,1/(1+Diskontsatz)^$A17,"")</f>
        <v>0.600574086134678</v>
      </c>
      <c r="S17" s="55"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5" t="n">
        <f aca="false">IF($B18=1,G18-J18,"")</f>
        <v>-165.375523800273</v>
      </c>
      <c r="L18" s="56" t="n">
        <f aca="false">IF($B18=1,K18*1000000/Flaeche/12,"")</f>
        <v>-0.941345194673684</v>
      </c>
      <c r="M18" s="57" t="n">
        <f aca="false">IF($B18=1,K18*1000000/Wohnungen/12,"")</f>
        <v>-57.4220568750947</v>
      </c>
      <c r="N18" s="57" t="n">
        <f aca="false">IF($B18=1,N17+K18,"")</f>
        <v>-2127.60356152231</v>
      </c>
      <c r="O18" s="55"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8" t="n">
        <f aca="false">IF($B18=1,1/(1+Diskontsatz)^$A18,"")</f>
        <v>0.577475082821806</v>
      </c>
      <c r="S18" s="55"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5" t="n">
        <f aca="false">IF($B19=1,G19-J19,"")</f>
        <v>-168.33336451254</v>
      </c>
      <c r="L19" s="56" t="n">
        <f aca="false">IF($B19=1,K19*1000000/Flaeche/12,"")</f>
        <v>-0.958181719675206</v>
      </c>
      <c r="M19" s="57" t="n">
        <f aca="false">IF($B19=1,K19*1000000/Wohnungen/12,"")</f>
        <v>-58.4490849001876</v>
      </c>
      <c r="N19" s="57" t="n">
        <f aca="false">IF($B19=1,N18+K19,"")</f>
        <v>-2295.93692603485</v>
      </c>
      <c r="O19" s="55"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8" t="n">
        <f aca="false">IF($B19=1,1/(1+Diskontsatz)^$A19,"")</f>
        <v>0.555264502713275</v>
      </c>
      <c r="S19" s="55"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5" t="n">
        <f aca="false">IF($B20=1,G20-J20,"")</f>
        <v>-171.490320198308</v>
      </c>
      <c r="L20" s="56" t="n">
        <f aca="false">IF($B20=1,K20*1000000/Flaeche/12,"")</f>
        <v>-0.976151640473063</v>
      </c>
      <c r="M20" s="57" t="n">
        <f aca="false">IF($B20=1,K20*1000000/Wohnungen/12,"")</f>
        <v>-59.5452500688568</v>
      </c>
      <c r="N20" s="57" t="n">
        <f aca="false">IF($B20=1,N19+K20,"")</f>
        <v>-2467.42724623315</v>
      </c>
      <c r="O20" s="55"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8" t="n">
        <f aca="false">IF($B20=1,1/(1+Diskontsatz)^$A20,"")</f>
        <v>0.533908175685841</v>
      </c>
      <c r="S20" s="55"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5" t="n">
        <f aca="false">IF($B21=1,G21-J21,"")</f>
        <v>-174.851772738637</v>
      </c>
      <c r="L21" s="56" t="n">
        <f aca="false">IF($B21=1,K21*1000000/Flaeche/12,"")</f>
        <v>-0.995285591636141</v>
      </c>
      <c r="M21" s="57" t="n">
        <f aca="false">IF($B21=1,K21*1000000/Wohnungen/12,"")</f>
        <v>-60.7124210898046</v>
      </c>
      <c r="N21" s="57" t="n">
        <f aca="false">IF($B21=1,N20+K21,"")</f>
        <v>-2642.27901897179</v>
      </c>
      <c r="O21" s="55"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8" t="n">
        <f aca="false">IF($B21=1,1/(1+Diskontsatz)^$A21,"")</f>
        <v>0.51337324585177</v>
      </c>
      <c r="S21" s="55"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5" t="n">
        <f aca="false">IF($B22=1,G22-J22,"")</f>
        <v>-178.42322564803</v>
      </c>
      <c r="L22" s="56" t="n">
        <f aca="false">IF($B22=1,K22*1000000/Flaeche/12,"")</f>
        <v>-1.01561490009125</v>
      </c>
      <c r="M22" s="57" t="n">
        <f aca="false">IF($B22=1,K22*1000000/Wohnungen/12,"")</f>
        <v>-61.952508905566</v>
      </c>
      <c r="N22" s="57" t="n">
        <f aca="false">IF($B22=1,N21+K22,"")</f>
        <v>-2820.70224461982</v>
      </c>
      <c r="O22" s="55"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8" t="n">
        <f aca="false">IF($B22=1,1/(1+Diskontsatz)^$A22,"")</f>
        <v>0.493628121011318</v>
      </c>
      <c r="S22" s="55"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5" t="n">
        <f aca="false">IF($B23=1,G23-J23,"")</f>
        <v>-182.210306647048</v>
      </c>
      <c r="L23" s="56" t="n">
        <f aca="false">IF($B23=1,K23*1000000/Flaeche/12,"")</f>
        <v>-1.03717159976689</v>
      </c>
      <c r="M23" s="57" t="n">
        <f aca="false">IF($B23=1,K23*1000000/Wohnungen/12,"")</f>
        <v>-63.2674675857805</v>
      </c>
      <c r="N23" s="57" t="n">
        <f aca="false">IF($B23=1,N22+K23,"")</f>
        <v>-3002.91255126687</v>
      </c>
      <c r="O23" s="55"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8" t="n">
        <f aca="false">IF($B23=1,1/(1+Diskontsatz)^$A23,"")</f>
        <v>0.474642424049344</v>
      </c>
      <c r="S23" s="55"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5" t="n">
        <f aca="false">IF($B24=1,G24-J24,"")</f>
        <v>-186.218770287798</v>
      </c>
      <c r="L24" s="56" t="n">
        <f aca="false">IF($B24=1,K24*1000000/Flaeche/12,"")</f>
        <v>-1.05998844653801</v>
      </c>
      <c r="M24" s="57" t="n">
        <f aca="false">IF($B24=1,K24*1000000/Wohnungen/12,"")</f>
        <v>-64.6592952388189</v>
      </c>
      <c r="N24" s="57" t="n">
        <f aca="false">IF($B24=1,N23+K24,"")</f>
        <v>-3189.13132155467</v>
      </c>
      <c r="O24" s="55"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8" t="n">
        <f aca="false">IF($B24=1,1/(1+Diskontsatz)^$A24,"")</f>
        <v>0.456386946201292</v>
      </c>
      <c r="S24" s="55"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5" t="n">
        <f aca="false">IF($B25=1,G25-J25,"")</f>
        <v>-190.454500633335</v>
      </c>
      <c r="L25" s="56" t="n">
        <f aca="false">IF($B25=1,K25*1000000/Flaeche/12,"")</f>
        <v>-1.08409893347754</v>
      </c>
      <c r="M25" s="57" t="n">
        <f aca="false">IF($B25=1,K25*1000000/Wohnungen/12,"")</f>
        <v>-66.1300349421301</v>
      </c>
      <c r="N25" s="57" t="n">
        <f aca="false">IF($B25=1,N24+K25,"")</f>
        <v>-3379.585822188</v>
      </c>
      <c r="O25" s="55"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8" t="n">
        <f aca="false">IF($B25=1,1/(1+Diskontsatz)^$A25,"")</f>
        <v>0.438833602116627</v>
      </c>
      <c r="S25" s="55"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5" t="n">
        <f aca="false">IF($B26=1,G26-J26,"")</f>
        <v>-194.923513992071</v>
      </c>
      <c r="L26" s="56" t="n">
        <f aca="false">IF($B26=1,K26*1000000/Flaeche/12,"")</f>
        <v>-1.10953730642117</v>
      </c>
      <c r="M26" s="57" t="n">
        <f aca="false">IF($B26=1,K26*1000000/Wohnungen/12,"")</f>
        <v>-67.6817756916913</v>
      </c>
      <c r="N26" s="57" t="n">
        <f aca="false">IF($B26=1,N25+K26,"")</f>
        <v>-3574.50933618007</v>
      </c>
      <c r="O26" s="55"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8" t="n">
        <f aca="false">IF($B26=1,1/(1+Diskontsatz)^$A26,"")</f>
        <v>0.421955386650603</v>
      </c>
      <c r="S26" s="55"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5" t="n">
        <f aca="false">IF($B27=1,G27-J27,"")</f>
        <v>-199.631961708335</v>
      </c>
      <c r="L27" s="56" t="n">
        <f aca="false">IF($B27=1,K27*1000000/Flaeche/12,"")</f>
        <v>-1.13633857985163</v>
      </c>
      <c r="M27" s="57" t="n">
        <f aca="false">IF($B27=1,K27*1000000/Wohnungen/12,"")</f>
        <v>-69.3166533709496</v>
      </c>
      <c r="N27" s="57" t="n">
        <f aca="false">IF($B27=1,N26+K27,"")</f>
        <v>-3774.14129788841</v>
      </c>
      <c r="O27" s="55"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8" t="n">
        <f aca="false">IF($B27=1,1/(1+Diskontsatz)^$A27,"")</f>
        <v>0.405726333317887</v>
      </c>
      <c r="S27" s="55"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5" t="n">
        <f aca="false">IF($B28=1,G28-J28,"")</f>
        <v>-204.58613301018</v>
      </c>
      <c r="L28" s="56" t="n">
        <f aca="false">IF($B28=1,K28*1000000/Flaeche/12,"")</f>
        <v>-1.16453855310895</v>
      </c>
      <c r="M28" s="57" t="n">
        <f aca="false">IF($B28=1,K28*1000000/Wohnungen/12,"")</f>
        <v>-71.036851739646</v>
      </c>
      <c r="N28" s="57" t="n">
        <f aca="false">IF($B28=1,N27+K28,"")</f>
        <v>-3978.72743089859</v>
      </c>
      <c r="O28" s="55"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8" t="n">
        <f aca="false">IF($B28=1,1/(1+Diskontsatz)^$A28,"")</f>
        <v>0.390121474344123</v>
      </c>
      <c r="S28" s="55"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5" t="n">
        <f aca="false">IF($B29=1,G29-J29,"")</f>
        <v>-209.792457915632</v>
      </c>
      <c r="L29" s="56" t="n">
        <f aca="false">IF($B29=1,K29*1000000/Flaeche/12,"")</f>
        <v>-1.19417382693324</v>
      </c>
      <c r="M29" s="57" t="n">
        <f aca="false">IF($B29=1,K29*1000000/Wohnungen/12,"")</f>
        <v>-72.8446034429276</v>
      </c>
      <c r="N29" s="57" t="n">
        <f aca="false">IF($B29=1,N28+K29,"")</f>
        <v>-4188.51988881422</v>
      </c>
      <c r="O29" s="55"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8" t="n">
        <f aca="false">IF($B29=1,1/(1+Diskontsatz)^$A29,"")</f>
        <v>0.375116802253964</v>
      </c>
      <c r="S29" s="55"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5" t="n">
        <f aca="false">IF($B30=1,G30-J30,"")</f>
        <v>-215.257510198536</v>
      </c>
      <c r="L30" s="56" t="n">
        <f aca="false">IF($B30=1,K30*1000000/Flaeche/12,"")</f>
        <v>-1.22528182034686</v>
      </c>
      <c r="M30" s="57" t="n">
        <f aca="false">IF($B30=1,K30*1000000/Wohnungen/12,"")</f>
        <v>-74.7421910411582</v>
      </c>
      <c r="N30" s="57" t="n">
        <f aca="false">IF($B30=1,N29+K30,"")</f>
        <v>-4403.77739901276</v>
      </c>
      <c r="O30" s="55"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8" t="n">
        <f aca="false">IF($B30=1,1/(1+Diskontsatz)^$A30,"")</f>
        <v>0.360689232936504</v>
      </c>
      <c r="S30" s="55"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5" t="n">
        <f aca="false">IF($B31=1,G31-J31,"")</f>
        <v>-220.988010415236</v>
      </c>
      <c r="L31" s="56" t="n">
        <f aca="false">IF($B31=1,K31*1000000/Flaeche/12,"")</f>
        <v>-1.25790078788272</v>
      </c>
      <c r="M31" s="57" t="n">
        <f aca="false">IF($B31=1,K31*1000000/Wohnungen/12,"")</f>
        <v>-76.7319480608459</v>
      </c>
      <c r="N31" s="57" t="n">
        <f aca="false">IF($B31=1,N30+K31,"")</f>
        <v>-4624.76540942799</v>
      </c>
      <c r="O31" s="55"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8" t="n">
        <f aca="false">IF($B31=1,1/(1+Diskontsatz)^$A31,"")</f>
        <v>0.346816570131254</v>
      </c>
      <c r="S31" s="55"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5" t="n">
        <f aca="false">IF($B32=1,G32-J32,"")</f>
        <v>-226.99082899329</v>
      </c>
      <c r="L32" s="56" t="n">
        <f aca="false">IF($B32=1,K32*1000000/Flaeche/12,"")</f>
        <v>-1.29206983716581</v>
      </c>
      <c r="M32" s="57" t="n">
        <f aca="false">IF($B32=1,K32*1000000/Wohnungen/12,"")</f>
        <v>-78.8162600671144</v>
      </c>
      <c r="N32" s="57" t="n">
        <f aca="false">IF($B32=1,N31+K32,"")</f>
        <v>-4851.75623842128</v>
      </c>
      <c r="O32" s="55"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8" t="n">
        <f aca="false">IF($B32=1,1/(1+Diskontsatz)^$A32,"")</f>
        <v>0.333477471280052</v>
      </c>
      <c r="S32" s="55"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5" t="n">
        <f aca="false">IF($B33=1,G33-J33,"")</f>
        <v>-233.272989383494</v>
      </c>
      <c r="L33" s="56" t="n">
        <f aca="false">IF($B33=1,K33*1000000/Flaeche/12,"")</f>
        <v>-1.32782894685504</v>
      </c>
      <c r="M33" s="57" t="n">
        <f aca="false">IF($B33=1,K33*1000000/Wohnungen/12,"")</f>
        <v>-80.9975657581575</v>
      </c>
      <c r="N33" s="57" t="n">
        <f aca="false">IF($B33=1,N32+K33,"")</f>
        <v>-5085.02922780478</v>
      </c>
      <c r="O33" s="55"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8" t="n">
        <f aca="false">IF($B33=1,1/(1+Diskontsatz)^$A33,"")</f>
        <v>0.320651414692357</v>
      </c>
      <c r="S33" s="55"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5" t="n">
        <f aca="false">IF($B34=1,G34-J34,"")</f>
        <v>-239.841671276497</v>
      </c>
      <c r="L34" s="56" t="n">
        <f aca="false">IF($B34=1,K34*1000000/Flaeche/12,"")</f>
        <v>-1.36521898495274</v>
      </c>
      <c r="M34" s="57" t="n">
        <f aca="false">IF($B34=1,K34*1000000/Wohnungen/12,"")</f>
        <v>-83.278358082117</v>
      </c>
      <c r="N34" s="57" t="n">
        <f aca="false">IF($B34=1,N33+K34,"")</f>
        <v>-5324.87089908127</v>
      </c>
      <c r="O34" s="55"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8" t="n">
        <f aca="false">IF($B34=1,1/(1+Diskontsatz)^$A34,"")</f>
        <v>0.30831866797342</v>
      </c>
      <c r="S34" s="55"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5" t="n">
        <f aca="false">IF($B35=1,G35-J35,"")</f>
        <v>-246.704213885306</v>
      </c>
      <c r="L35" s="56" t="n">
        <f aca="false">IF($B35=1,K35*1000000/Flaeche/12,"")</f>
        <v>-1.40428172748922</v>
      </c>
      <c r="M35" s="57" t="n">
        <f aca="false">IF($B35=1,K35*1000000/Wohnungen/12,"")</f>
        <v>-85.6611853768423</v>
      </c>
      <c r="N35" s="57" t="n">
        <f aca="false">IF($B35=1,N34+K35,"")</f>
        <v>-5571.57511296658</v>
      </c>
      <c r="O35" s="55"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8" t="n">
        <f aca="false">IF($B35=1,1/(1+Diskontsatz)^$A35,"")</f>
        <v>0.29646025766675</v>
      </c>
      <c r="S35" s="55"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5" t="n">
        <f aca="false">IF($B36=1,G36-J36,"")</f>
        <v>-253.868119295016</v>
      </c>
      <c r="L36" s="56" t="n">
        <f aca="false">IF($B36=1,K36*1000000/Flaeche/12,"")</f>
        <v>-1.44505987759003</v>
      </c>
      <c r="M36" s="57" t="n">
        <f aca="false">IF($B36=1,K36*1000000/Wohnungen/12,"")</f>
        <v>-88.1486525329917</v>
      </c>
      <c r="N36" s="57" t="n">
        <f aca="false">IF($B36=1,N35+K36,"")</f>
        <v>-5825.44323226159</v>
      </c>
      <c r="O36" s="55"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8" t="n">
        <f aca="false">IF($B36=1,1/(1+Diskontsatz)^$A36,"")</f>
        <v>0.285057940064183</v>
      </c>
      <c r="S36" s="55"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5" t="n">
        <f aca="false">IF($B37=1,G37-J37,"")</f>
        <v>-261.341055881132</v>
      </c>
      <c r="L37" s="56" t="n">
        <f aca="false">IF($B37=1,K37*1000000/Flaeche/12,"")</f>
        <v>-1.48759708493358</v>
      </c>
      <c r="M37" s="57" t="n">
        <f aca="false">IF($B37=1,K37*1000000/Wohnungen/12,"")</f>
        <v>-90.7434221809485</v>
      </c>
      <c r="N37" s="57" t="n">
        <f aca="false">IF($B37=1,N36+K37,"")</f>
        <v>-6086.78428814273</v>
      </c>
      <c r="O37" s="55"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8" t="n">
        <f aca="false">IF($B37=1,1/(1+Diskontsatz)^$A37,"")</f>
        <v>0.274094173138638</v>
      </c>
      <c r="S37" s="55"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5" t="n">
        <f aca="false">IF($B38=1,G38-J38,"")</f>
        <v>-269.130861797864</v>
      </c>
      <c r="L38" s="56" t="n">
        <f aca="false">IF($B38=1,K38*1000000/Flaeche/12,"")</f>
        <v>-1.53193796560715</v>
      </c>
      <c r="M38" s="57" t="n">
        <f aca="false">IF($B38=1,K38*1000000/Wohnungen/12,"")</f>
        <v>-93.4482159020361</v>
      </c>
      <c r="N38" s="57" t="n">
        <f aca="false">IF($B38=1,N37+K38,"")</f>
        <v>-6355.91514994059</v>
      </c>
      <c r="O38" s="55"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8" t="n">
        <f aca="false">IF($B38=1,1/(1+Diskontsatz)^$A38,"")</f>
        <v>0.263552089556382</v>
      </c>
      <c r="S38" s="55"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5" t="n">
        <f aca="false">IF($B39=1,G39-J39,"")</f>
        <v>-277.245548537814</v>
      </c>
      <c r="L39" s="56" t="n">
        <f aca="false">IF($B39=1,K39*1000000/Flaeche/12,"")</f>
        <v>-1.57812812236916</v>
      </c>
      <c r="M39" s="57" t="n">
        <f aca="false">IF($B39=1,K39*1000000/Wohnungen/12,"")</f>
        <v>-96.2658154645188</v>
      </c>
      <c r="N39" s="57" t="n">
        <f aca="false">IF($B39=1,N38+K39,"")</f>
        <v>-6633.1606984784</v>
      </c>
      <c r="O39" s="55"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8" t="n">
        <f aca="false">IF($B39=1,1/(1+Diskontsatz)^$A39,"")</f>
        <v>0.253415470727291</v>
      </c>
      <c r="S39" s="55"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5" t="n">
        <f aca="false">IF($B40=1,G40-J40,"")</f>
        <v>-285.693304564495</v>
      </c>
      <c r="L40" s="56" t="n">
        <f aca="false">IF($B40=1,K40*1000000/Flaeche/12,"")</f>
        <v>-1.62621416532613</v>
      </c>
      <c r="M40" s="57" t="n">
        <f aca="false">IF($B40=1,K40*1000000/Wohnungen/12,"")</f>
        <v>-99.1990640848942</v>
      </c>
      <c r="N40" s="57" t="n">
        <f aca="false">IF($B40=1,N39+K40,"")</f>
        <v>-6918.8540030429</v>
      </c>
      <c r="O40" s="55"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8" t="n">
        <f aca="false">IF($B40=1,1/(1+Diskontsatz)^$A40,"")</f>
        <v>0.243668721853164</v>
      </c>
      <c r="S40" s="55"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5" t="n">
        <f aca="false">IF($B41=1,G41-J41,"")</f>
        <v>-294.482499019161</v>
      </c>
      <c r="L41" s="56" t="n">
        <f aca="false">IF($B41=1,K41*1000000/Flaeche/12,"")</f>
        <v>-1.67624373303256</v>
      </c>
      <c r="M41" s="57" t="n">
        <f aca="false">IF($B41=1,K41*1000000/Wohnungen/12,"")</f>
        <v>-102.250867714986</v>
      </c>
      <c r="N41" s="57" t="n">
        <f aca="false">IF($B41=1,N40+K41,"")</f>
        <v>-7213.33650206206</v>
      </c>
      <c r="O41" s="55"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8" t="n">
        <f aca="false">IF($B41=1,1/(1+Diskontsatz)^$A41,"")</f>
        <v>0.234296847935735</v>
      </c>
      <c r="S41" s="55"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5" t="n">
        <f aca="false">IF($B42=1,G42-J42,"")</f>
        <v>-303.621685503446</v>
      </c>
      <c r="L42" s="56" t="n">
        <f aca="false">IF($B42=1,K42*1000000/Flaeche/12,"")</f>
        <v>-1.72826551402235</v>
      </c>
      <c r="M42" s="57" t="n">
        <f aca="false">IF($B42=1,K42*1000000/Wohnungen/12,"")</f>
        <v>-105.424196355363</v>
      </c>
      <c r="N42" s="57" t="n">
        <f aca="false">IF($B42=1,N41+K42,"")</f>
        <v>-7516.95818756551</v>
      </c>
      <c r="O42" s="55"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8" t="n">
        <f aca="false">IF($B42=1,1/(1+Diskontsatz)^$A42,"")</f>
        <v>0.225285430707437</v>
      </c>
      <c r="S42" s="55"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5" t="n">
        <f aca="false">IF($B43=1,G43-J43,"")</f>
        <v>-313.119605939347</v>
      </c>
      <c r="L43" s="56" t="n">
        <f aca="false">IF($B43=1,K43*1000000/Flaeche/12,"")</f>
        <v>-1.78232926878044</v>
      </c>
      <c r="M43" s="57" t="n">
        <f aca="false">IF($B43=1,K43*1000000/Wohnungen/12,"")</f>
        <v>-108.722085395607</v>
      </c>
      <c r="N43" s="57" t="n">
        <f aca="false">IF($B43=1,N42+K43,"")</f>
        <v>-7830.07779350485</v>
      </c>
      <c r="O43" s="55"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8" t="n">
        <f aca="false">IF($B43=1,1/(1+Diskontsatz)^$A43,"")</f>
        <v>0.216620606449459</v>
      </c>
      <c r="S43" s="55"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5" t="n">
        <f aca="false">IF($B44=1,G44-J44,"")</f>
        <v>-322.985194508116</v>
      </c>
      <c r="L44" s="56" t="n">
        <f aca="false">IF($B44=1,K44*1000000/Flaeche/12,"")</f>
        <v>-1.83848585216369</v>
      </c>
      <c r="M44" s="57" t="n">
        <f aca="false">IF($B44=1,K44*1000000/Wohnungen/12,"")</f>
        <v>-112.147636981985</v>
      </c>
      <c r="N44" s="57" t="n">
        <f aca="false">IF($B44=1,N43+K44,"")</f>
        <v>-8153.06298801297</v>
      </c>
      <c r="O44" s="55"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8" t="n">
        <f aca="false">IF($B44=1,1/(1+Diskontsatz)^$A44,"")</f>
        <v>0.208289044662941</v>
      </c>
      <c r="S44" s="55"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5" t="n">
        <f aca="false">IF($B45=1,G45-J45,"")</f>
        <v>-333.227581669653</v>
      </c>
      <c r="L45" s="56" t="n">
        <f aca="false">IF($B45=1,K45*1000000/Flaeche/12,"")</f>
        <v>-1.8967872362799</v>
      </c>
      <c r="M45" s="57" t="n">
        <f aca="false">IF($B45=1,K45*1000000/Wohnungen/12,"")</f>
        <v>-115.704021413074</v>
      </c>
      <c r="N45" s="57" t="n">
        <f aca="false">IF($B45=1,N44+K45,"")</f>
        <v>-8486.29056968262</v>
      </c>
      <c r="O45" s="55"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8" t="n">
        <f aca="false">IF($B45=1,1/(1+Diskontsatz)^$A45,"")</f>
        <v>0.20027792756052</v>
      </c>
      <c r="S45" s="55"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5" t="n">
        <f aca="false">IF($B46=1,G46-J46,"")</f>
        <v>-343.856098264027</v>
      </c>
      <c r="L46" s="56" t="n">
        <f aca="false">IF($B46=1,K46*1000000/Flaeche/12,"")</f>
        <v>-1.9572865338344</v>
      </c>
      <c r="M46" s="57" t="n">
        <f aca="false">IF($B46=1,K46*1000000/Wohnungen/12,"")</f>
        <v>-119.394478563898</v>
      </c>
      <c r="N46" s="57" t="n">
        <f aca="false">IF($B46=1,N45+K46,"")</f>
        <v>-8830.14666794665</v>
      </c>
      <c r="O46" s="55"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8" t="n">
        <f aca="false">IF($B46=1,1/(1+Diskontsatz)^$A46,"")</f>
        <v>0.192574930346654</v>
      </c>
      <c r="S46" s="55"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5" t="n">
        <f aca="false">IF($B47=1,G47-J47,"")</f>
        <v>-354.880279696789</v>
      </c>
      <c r="L47" s="56" t="n">
        <f aca="false">IF($B47=1,K47*1000000/Flaeche/12,"")</f>
        <v>-2.02003802195349</v>
      </c>
      <c r="M47" s="57" t="n">
        <f aca="false">IF($B47=1,K47*1000000/Wohnungen/12,"")</f>
        <v>-123.222319339163</v>
      </c>
      <c r="N47" s="57" t="n">
        <f aca="false">IF($B47=1,N46+K47,"")</f>
        <v>-9185.02694764344</v>
      </c>
      <c r="O47" s="55"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8" t="n">
        <f aca="false">IF($B47=1,1/(1+Diskontsatz)^$A47,"")</f>
        <v>0.185168202256398</v>
      </c>
      <c r="S47" s="55"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5" t="n">
        <f aca="false">IF($B48=1,G48-J48,"")</f>
        <v>-366.309870209774</v>
      </c>
      <c r="L48" s="56" t="n">
        <f aca="false">IF($B48=1,K48*1000000/Flaeche/12,"")</f>
        <v>-2.08509716649462</v>
      </c>
      <c r="M48" s="57" t="n">
        <f aca="false">IF($B48=1,K48*1000000/Wohnungen/12,"")</f>
        <v>-127.190927156172</v>
      </c>
      <c r="N48" s="57" t="n">
        <f aca="false">IF($B48=1,N47+K48,"")</f>
        <v>-9551.33681785321</v>
      </c>
      <c r="O48" s="55"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8" t="n">
        <f aca="false">IF($B48=1,1/(1+Diskontsatz)^$A48,"")</f>
        <v>0.17804634832346</v>
      </c>
      <c r="S48" s="55"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5" t="n">
        <f aca="false">IF($B49=1,G49-J49,"")</f>
        <v>-378.1548272391</v>
      </c>
      <c r="L49" s="56" t="n">
        <f aca="false">IF($B49=1,K49*1000000/Flaeche/12,"")</f>
        <v>-2.1525206468528</v>
      </c>
      <c r="M49" s="57" t="n">
        <f aca="false">IF($B49=1,K49*1000000/Wohnungen/12,"")</f>
        <v>-131.303759458021</v>
      </c>
      <c r="N49" s="57" t="n">
        <f aca="false">IF($B49=1,N48+K49,"")</f>
        <v>-9929.49164509231</v>
      </c>
      <c r="O49" s="55"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8" t="n">
        <f aca="false">IF($B49=1,1/(1+Diskontsatz)^$A49,"")</f>
        <v>0.171198411849481</v>
      </c>
      <c r="S49" s="55"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5" t="n">
        <f aca="false">IF($B50=1,G50-J50,"")</f>
        <v>-390.425325862157</v>
      </c>
      <c r="L50" s="56" t="n">
        <f aca="false">IF($B50=1,K50*1000000/Flaeche/12,"")</f>
        <v>-2.22236638127366</v>
      </c>
      <c r="M50" s="57" t="n">
        <f aca="false">IF($B50=1,K50*1000000/Wohnungen/12,"")</f>
        <v>-135.564349257693</v>
      </c>
      <c r="N50" s="57" t="n">
        <f aca="false">IF($B50=1,N49+K50,"")</f>
        <v>-10319.9169709545</v>
      </c>
      <c r="O50" s="55"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8" t="n">
        <f aca="false">IF($B50=1,1/(1+Diskontsatz)^$A50,"")</f>
        <v>0.164613857547577</v>
      </c>
      <c r="S50" s="55"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5" t="n">
        <f aca="false">IF($B51=1,G51-J51,"")</f>
        <v>-403.131763335349</v>
      </c>
      <c r="L51" s="56" t="n">
        <f aca="false">IF($B51=1,K51*1000000/Flaeche/12,"")</f>
        <v>-2.294693552683</v>
      </c>
      <c r="M51" s="57" t="n">
        <f aca="false">IF($B51=1,K51*1000000/Wohnungen/12,"")</f>
        <v>-139.976306713663</v>
      </c>
      <c r="N51" s="57" t="n">
        <f aca="false">IF($B51=1,N50+K51,"")</f>
        <v>-10723.0487342898</v>
      </c>
      <c r="O51" s="55"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8" t="n">
        <f aca="false">IF($B51=1,1/(1+Diskontsatz)^$A51,"")</f>
        <v>0.158282555334209</v>
      </c>
      <c r="S51" s="55"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5" t="n">
        <f aca="false">IF($B52=1,G52-J52,"")</f>
        <v>-416.284763724456</v>
      </c>
      <c r="L52" s="56" t="n">
        <f aca="false">IF($B52=1,K52*1000000/Flaeche/12,"")</f>
        <v>-2.36956263504358</v>
      </c>
      <c r="M52" s="57" t="n">
        <f aca="false">IF($B52=1,K52*1000000/Wohnungen/12,"")</f>
        <v>-144.543320737658</v>
      </c>
      <c r="N52" s="57" t="n">
        <f aca="false">IF($B52=1,N51+K52,"")</f>
        <v>-11139.3334980143</v>
      </c>
      <c r="O52" s="55"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8" t="n">
        <f aca="false">IF($B52=1,1/(1+Diskontsatz)^$A52,"")</f>
        <v>0.152194764744432</v>
      </c>
      <c r="S52" s="55"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5" t="n">
        <f aca="false">IF($B53=1,G53-J53,"")</f>
        <v>-429.895182629462</v>
      </c>
      <c r="L53" s="56" t="n">
        <f aca="false">IF($B53=1,K53*1000000/Flaeche/12,"")</f>
        <v>-2.44703542024967</v>
      </c>
      <c r="M53" s="57" t="n">
        <f aca="false">IF($B53=1,K53*1000000/Wohnungen/12,"")</f>
        <v>-149.26916063523</v>
      </c>
      <c r="N53" s="57" t="n">
        <f aca="false">IF($B53=1,N52+K53,"")</f>
        <v>-11569.2286806437</v>
      </c>
      <c r="O53" s="55"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8" t="n">
        <f aca="false">IF($B53=1,1/(1+Diskontsatz)^$A53,"")</f>
        <v>0.146341119946569</v>
      </c>
      <c r="S53" s="55"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5" t="n">
        <f aca="false">IF($B54=1,G54-J54,"")</f>
        <v>-443.974112005765</v>
      </c>
      <c r="L54" s="56" t="n">
        <f aca="false">IF($B54=1,K54*1000000/Flaeche/12,"")</f>
        <v>-2.52717504557015</v>
      </c>
      <c r="M54" s="57" t="n">
        <f aca="false">IF($B54=1,K54*1000000/Wohnungen/12,"")</f>
        <v>-154.157677779779</v>
      </c>
      <c r="N54" s="57" t="n">
        <f aca="false">IF($B54=1,N53+K54,"")</f>
        <v>-12013.2027926495</v>
      </c>
      <c r="O54" s="55"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8" t="n">
        <f aca="false">IF($B54=1,1/(1+Diskontsatz)^$A54,"")</f>
        <v>0.140712615333239</v>
      </c>
      <c r="S54" s="55"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5" t="str">
        <f aca="false">IF($B55=1,G55-J55,"")</f>
        <v/>
      </c>
      <c r="L55" s="56" t="str">
        <f aca="false">IF($B55=1,K55*1000000/Flaeche/12,"")</f>
        <v/>
      </c>
      <c r="M55" s="57" t="str">
        <f aca="false">IF($B55=1,K55*1000000/Wohnungen/12,"")</f>
        <v/>
      </c>
      <c r="N55" s="57" t="str">
        <f aca="false">IF($B55=1,N54+K55,"")</f>
        <v/>
      </c>
      <c r="O55" s="55"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8" t="str">
        <f aca="false">IF($B55=1,1/(1+Diskontsatz)^$A55,"")</f>
        <v/>
      </c>
      <c r="S55" s="55"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5" t="str">
        <f aca="false">IF($B56=1,G56-J56,"")</f>
        <v/>
      </c>
      <c r="L56" s="56" t="str">
        <f aca="false">IF($B56=1,K56*1000000/Flaeche/12,"")</f>
        <v/>
      </c>
      <c r="M56" s="57" t="str">
        <f aca="false">IF($B56=1,K56*1000000/Wohnungen/12,"")</f>
        <v/>
      </c>
      <c r="N56" s="57" t="str">
        <f aca="false">IF($B56=1,N55+K56,"")</f>
        <v/>
      </c>
      <c r="O56" s="55"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8" t="str">
        <f aca="false">IF($B56=1,1/(1+Diskontsatz)^$A56,"")</f>
        <v/>
      </c>
      <c r="S56" s="55"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5" t="str">
        <f aca="false">IF($B57=1,G57-J57,"")</f>
        <v/>
      </c>
      <c r="L57" s="56" t="str">
        <f aca="false">IF($B57=1,K57*1000000/Flaeche/12,"")</f>
        <v/>
      </c>
      <c r="M57" s="57" t="str">
        <f aca="false">IF($B57=1,K57*1000000/Wohnungen/12,"")</f>
        <v/>
      </c>
      <c r="N57" s="57" t="str">
        <f aca="false">IF($B57=1,N56+K57,"")</f>
        <v/>
      </c>
      <c r="O57" s="55"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8" t="str">
        <f aca="false">IF($B57=1,1/(1+Diskontsatz)^$A57,"")</f>
        <v/>
      </c>
      <c r="S57" s="55"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5" t="str">
        <f aca="false">IF($B58=1,G58-J58,"")</f>
        <v/>
      </c>
      <c r="L58" s="56" t="str">
        <f aca="false">IF($B58=1,K58*1000000/Flaeche/12,"")</f>
        <v/>
      </c>
      <c r="M58" s="57" t="str">
        <f aca="false">IF($B58=1,K58*1000000/Wohnungen/12,"")</f>
        <v/>
      </c>
      <c r="N58" s="57" t="str">
        <f aca="false">IF($B58=1,N57+K58,"")</f>
        <v/>
      </c>
      <c r="O58" s="55"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8" t="str">
        <f aca="false">IF($B58=1,1/(1+Diskontsatz)^$A58,"")</f>
        <v/>
      </c>
      <c r="S58" s="55"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5" t="str">
        <f aca="false">IF($B59=1,G59-J59,"")</f>
        <v/>
      </c>
      <c r="L59" s="56" t="str">
        <f aca="false">IF($B59=1,K59*1000000/Flaeche/12,"")</f>
        <v/>
      </c>
      <c r="M59" s="57" t="str">
        <f aca="false">IF($B59=1,K59*1000000/Wohnungen/12,"")</f>
        <v/>
      </c>
      <c r="N59" s="57" t="str">
        <f aca="false">IF($B59=1,N58+K59,"")</f>
        <v/>
      </c>
      <c r="O59" s="55"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8" t="str">
        <f aca="false">IF($B59=1,1/(1+Diskontsatz)^$A59,"")</f>
        <v/>
      </c>
      <c r="S59" s="55"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5" t="str">
        <f aca="false">IF($B60=1,G60-J60,"")</f>
        <v/>
      </c>
      <c r="L60" s="56" t="str">
        <f aca="false">IF($B60=1,K60*1000000/Flaeche/12,"")</f>
        <v/>
      </c>
      <c r="M60" s="57" t="str">
        <f aca="false">IF($B60=1,K60*1000000/Wohnungen/12,"")</f>
        <v/>
      </c>
      <c r="N60" s="57" t="str">
        <f aca="false">IF($B60=1,N59+K60,"")</f>
        <v/>
      </c>
      <c r="O60" s="55"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8" t="str">
        <f aca="false">IF($B60=1,1/(1+Diskontsatz)^$A60,"")</f>
        <v/>
      </c>
      <c r="S60" s="55"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5" t="str">
        <f aca="false">IF($B61=1,G61-J61,"")</f>
        <v/>
      </c>
      <c r="L61" s="56" t="str">
        <f aca="false">IF($B61=1,K61*1000000/Flaeche/12,"")</f>
        <v/>
      </c>
      <c r="M61" s="57" t="str">
        <f aca="false">IF($B61=1,K61*1000000/Wohnungen/12,"")</f>
        <v/>
      </c>
      <c r="N61" s="57" t="str">
        <f aca="false">IF($B61=1,N60+K61,"")</f>
        <v/>
      </c>
      <c r="O61" s="55"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8" t="str">
        <f aca="false">IF($B61=1,1/(1+Diskontsatz)^$A61,"")</f>
        <v/>
      </c>
      <c r="S61" s="55"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5" t="str">
        <f aca="false">IF($B62=1,G62-J62,"")</f>
        <v/>
      </c>
      <c r="L62" s="56" t="str">
        <f aca="false">IF($B62=1,K62*1000000/Flaeche/12,"")</f>
        <v/>
      </c>
      <c r="M62" s="57" t="str">
        <f aca="false">IF($B62=1,K62*1000000/Wohnungen/12,"")</f>
        <v/>
      </c>
      <c r="N62" s="57" t="str">
        <f aca="false">IF($B62=1,N61+K62,"")</f>
        <v/>
      </c>
      <c r="O62" s="55"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8" t="str">
        <f aca="false">IF($B62=1,1/(1+Diskontsatz)^$A62,"")</f>
        <v/>
      </c>
      <c r="S62" s="55"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5" t="str">
        <f aca="false">IF($B63=1,G63-J63,"")</f>
        <v/>
      </c>
      <c r="L63" s="56" t="str">
        <f aca="false">IF($B63=1,K63*1000000/Flaeche/12,"")</f>
        <v/>
      </c>
      <c r="M63" s="57" t="str">
        <f aca="false">IF($B63=1,K63*1000000/Wohnungen/12,"")</f>
        <v/>
      </c>
      <c r="N63" s="57" t="str">
        <f aca="false">IF($B63=1,N62+K63,"")</f>
        <v/>
      </c>
      <c r="O63" s="55"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8" t="str">
        <f aca="false">IF($B63=1,1/(1+Diskontsatz)^$A63,"")</f>
        <v/>
      </c>
      <c r="S63" s="55"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5" t="str">
        <f aca="false">IF($B64=1,G64-J64,"")</f>
        <v/>
      </c>
      <c r="L64" s="56" t="str">
        <f aca="false">IF($B64=1,K64*1000000/Flaeche/12,"")</f>
        <v/>
      </c>
      <c r="M64" s="57" t="str">
        <f aca="false">IF($B64=1,K64*1000000/Wohnungen/12,"")</f>
        <v/>
      </c>
      <c r="N64" s="57" t="str">
        <f aca="false">IF($B64=1,N63+K64,"")</f>
        <v/>
      </c>
      <c r="O64" s="55"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8" t="str">
        <f aca="false">IF($B64=1,1/(1+Diskontsatz)^$A64,"")</f>
        <v/>
      </c>
      <c r="S64" s="55"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5" t="str">
        <f aca="false">IF($B65=1,G65-J65,"")</f>
        <v/>
      </c>
      <c r="L65" s="56" t="str">
        <f aca="false">IF($B65=1,K65*1000000/Flaeche/12,"")</f>
        <v/>
      </c>
      <c r="M65" s="57" t="str">
        <f aca="false">IF($B65=1,K65*1000000/Wohnungen/12,"")</f>
        <v/>
      </c>
      <c r="N65" s="57" t="str">
        <f aca="false">IF($B65=1,N64+K65,"")</f>
        <v/>
      </c>
      <c r="O65" s="55"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8" t="str">
        <f aca="false">IF($B65=1,1/(1+Diskontsatz)^$A65,"")</f>
        <v/>
      </c>
      <c r="S65" s="55"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5" t="str">
        <f aca="false">IF($B66=1,G66-J66,"")</f>
        <v/>
      </c>
      <c r="L66" s="56" t="str">
        <f aca="false">IF($B66=1,K66*1000000/Flaeche/12,"")</f>
        <v/>
      </c>
      <c r="M66" s="57" t="str">
        <f aca="false">IF($B66=1,K66*1000000/Wohnungen/12,"")</f>
        <v/>
      </c>
      <c r="N66" s="57" t="str">
        <f aca="false">IF($B66=1,N65+K66,"")</f>
        <v/>
      </c>
      <c r="O66" s="55"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8" t="str">
        <f aca="false">IF($B66=1,1/(1+Diskontsatz)^$A66,"")</f>
        <v/>
      </c>
      <c r="S66" s="55"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5" t="str">
        <f aca="false">IF($B67=1,G67-J67,"")</f>
        <v/>
      </c>
      <c r="L67" s="56" t="str">
        <f aca="false">IF($B67=1,K67*1000000/Flaeche/12,"")</f>
        <v/>
      </c>
      <c r="M67" s="57" t="str">
        <f aca="false">IF($B67=1,K67*1000000/Wohnungen/12,"")</f>
        <v/>
      </c>
      <c r="N67" s="57" t="str">
        <f aca="false">IF($B67=1,N66+K67,"")</f>
        <v/>
      </c>
      <c r="O67" s="55"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8" t="str">
        <f aca="false">IF($B67=1,1/(1+Diskontsatz)^$A67,"")</f>
        <v/>
      </c>
      <c r="S67" s="55"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5" t="str">
        <f aca="false">IF($B68=1,G68-J68,"")</f>
        <v/>
      </c>
      <c r="L68" s="56" t="str">
        <f aca="false">IF($B68=1,K68*1000000/Flaeche/12,"")</f>
        <v/>
      </c>
      <c r="M68" s="57" t="str">
        <f aca="false">IF($B68=1,K68*1000000/Wohnungen/12,"")</f>
        <v/>
      </c>
      <c r="N68" s="57" t="str">
        <f aca="false">IF($B68=1,N67+K68,"")</f>
        <v/>
      </c>
      <c r="O68" s="55"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8" t="str">
        <f aca="false">IF($B68=1,1/(1+Diskontsatz)^$A68,"")</f>
        <v/>
      </c>
      <c r="S68" s="55"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5" t="str">
        <f aca="false">IF($B69=1,G69-J69,"")</f>
        <v/>
      </c>
      <c r="L69" s="56" t="str">
        <f aca="false">IF($B69=1,K69*1000000/Flaeche/12,"")</f>
        <v/>
      </c>
      <c r="M69" s="57" t="str">
        <f aca="false">IF($B69=1,K69*1000000/Wohnungen/12,"")</f>
        <v/>
      </c>
      <c r="N69" s="57" t="str">
        <f aca="false">IF($B69=1,N68+K69,"")</f>
        <v/>
      </c>
      <c r="O69" s="55"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8" t="str">
        <f aca="false">IF($B69=1,1/(1+Diskontsatz)^$A69,"")</f>
        <v/>
      </c>
      <c r="S69" s="55"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5" t="str">
        <f aca="false">IF($B70=1,G70-J70,"")</f>
        <v/>
      </c>
      <c r="L70" s="56" t="str">
        <f aca="false">IF($B70=1,K70*1000000/Flaeche/12,"")</f>
        <v/>
      </c>
      <c r="M70" s="57" t="str">
        <f aca="false">IF($B70=1,K70*1000000/Wohnungen/12,"")</f>
        <v/>
      </c>
      <c r="N70" s="57" t="str">
        <f aca="false">IF($B70=1,N69+K70,"")</f>
        <v/>
      </c>
      <c r="O70" s="55"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8" t="str">
        <f aca="false">IF($B70=1,1/(1+Diskontsatz)^$A70,"")</f>
        <v/>
      </c>
      <c r="S70" s="55"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5" t="str">
        <f aca="false">IF($B71=1,G71-J71,"")</f>
        <v/>
      </c>
      <c r="L71" s="56" t="str">
        <f aca="false">IF($B71=1,K71*1000000/Flaeche/12,"")</f>
        <v/>
      </c>
      <c r="M71" s="57" t="str">
        <f aca="false">IF($B71=1,K71*1000000/Wohnungen/12,"")</f>
        <v/>
      </c>
      <c r="N71" s="57" t="str">
        <f aca="false">IF($B71=1,N70+K71,"")</f>
        <v/>
      </c>
      <c r="O71" s="55"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8" t="str">
        <f aca="false">IF($B71=1,1/(1+Diskontsatz)^$A71,"")</f>
        <v/>
      </c>
      <c r="S71" s="55"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5" t="str">
        <f aca="false">IF($B72=1,G72-J72,"")</f>
        <v/>
      </c>
      <c r="L72" s="56" t="str">
        <f aca="false">IF($B72=1,K72*1000000/Flaeche/12,"")</f>
        <v/>
      </c>
      <c r="M72" s="57" t="str">
        <f aca="false">IF($B72=1,K72*1000000/Wohnungen/12,"")</f>
        <v/>
      </c>
      <c r="N72" s="57" t="str">
        <f aca="false">IF($B72=1,N71+K72,"")</f>
        <v/>
      </c>
      <c r="O72" s="55"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8" t="str">
        <f aca="false">IF($B72=1,1/(1+Diskontsatz)^$A72,"")</f>
        <v/>
      </c>
      <c r="S72" s="55"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5" t="str">
        <f aca="false">IF($B73=1,G73-J73,"")</f>
        <v/>
      </c>
      <c r="L73" s="56" t="str">
        <f aca="false">IF($B73=1,K73*1000000/Flaeche/12,"")</f>
        <v/>
      </c>
      <c r="M73" s="57" t="str">
        <f aca="false">IF($B73=1,K73*1000000/Wohnungen/12,"")</f>
        <v/>
      </c>
      <c r="N73" s="57" t="str">
        <f aca="false">IF($B73=1,N72+K73,"")</f>
        <v/>
      </c>
      <c r="O73" s="55"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8" t="str">
        <f aca="false">IF($B73=1,1/(1+Diskontsatz)^$A73,"")</f>
        <v/>
      </c>
      <c r="S73" s="55"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5" t="str">
        <f aca="false">IF($B74=1,G74-J74,"")</f>
        <v/>
      </c>
      <c r="L74" s="56" t="str">
        <f aca="false">IF($B74=1,K74*1000000/Flaeche/12,"")</f>
        <v/>
      </c>
      <c r="M74" s="57" t="str">
        <f aca="false">IF($B74=1,K74*1000000/Wohnungen/12,"")</f>
        <v/>
      </c>
      <c r="N74" s="57" t="str">
        <f aca="false">IF($B74=1,N73+K74,"")</f>
        <v/>
      </c>
      <c r="O74" s="55"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8" t="str">
        <f aca="false">IF($B74=1,1/(1+Diskontsatz)^$A74,"")</f>
        <v/>
      </c>
      <c r="S74" s="55"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5" t="str">
        <f aca="false">IF($B75=1,G75-J75,"")</f>
        <v/>
      </c>
      <c r="L75" s="56" t="str">
        <f aca="false">IF($B75=1,K75*1000000/Flaeche/12,"")</f>
        <v/>
      </c>
      <c r="M75" s="57" t="str">
        <f aca="false">IF($B75=1,K75*1000000/Wohnungen/12,"")</f>
        <v/>
      </c>
      <c r="N75" s="57" t="str">
        <f aca="false">IF($B75=1,N74+K75,"")</f>
        <v/>
      </c>
      <c r="O75" s="55"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8" t="str">
        <f aca="false">IF($B75=1,1/(1+Diskontsatz)^$A75,"")</f>
        <v/>
      </c>
      <c r="S75" s="55"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5" t="str">
        <f aca="false">IF($B76=1,G76-J76,"")</f>
        <v/>
      </c>
      <c r="L76" s="56" t="str">
        <f aca="false">IF($B76=1,K76*1000000/Flaeche/12,"")</f>
        <v/>
      </c>
      <c r="M76" s="57" t="str">
        <f aca="false">IF($B76=1,K76*1000000/Wohnungen/12,"")</f>
        <v/>
      </c>
      <c r="N76" s="57" t="str">
        <f aca="false">IF($B76=1,N75+K76,"")</f>
        <v/>
      </c>
      <c r="O76" s="55"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8" t="str">
        <f aca="false">IF($B76=1,1/(1+Diskontsatz)^$A76,"")</f>
        <v/>
      </c>
      <c r="S76" s="55"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5" t="str">
        <f aca="false">IF($B77=1,G77-J77,"")</f>
        <v/>
      </c>
      <c r="L77" s="56" t="str">
        <f aca="false">IF($B77=1,K77*1000000/Flaeche/12,"")</f>
        <v/>
      </c>
      <c r="M77" s="57" t="str">
        <f aca="false">IF($B77=1,K77*1000000/Wohnungen/12,"")</f>
        <v/>
      </c>
      <c r="N77" s="57" t="str">
        <f aca="false">IF($B77=1,N76+K77,"")</f>
        <v/>
      </c>
      <c r="O77" s="55"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8" t="str">
        <f aca="false">IF($B77=1,1/(1+Diskontsatz)^$A77,"")</f>
        <v/>
      </c>
      <c r="S77" s="55"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5" t="str">
        <f aca="false">IF($B78=1,G78-J78,"")</f>
        <v/>
      </c>
      <c r="L78" s="56" t="str">
        <f aca="false">IF($B78=1,K78*1000000/Flaeche/12,"")</f>
        <v/>
      </c>
      <c r="M78" s="57" t="str">
        <f aca="false">IF($B78=1,K78*1000000/Wohnungen/12,"")</f>
        <v/>
      </c>
      <c r="N78" s="57" t="str">
        <f aca="false">IF($B78=1,N77+K78,"")</f>
        <v/>
      </c>
      <c r="O78" s="55"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8" t="str">
        <f aca="false">IF($B78=1,1/(1+Diskontsatz)^$A78,"")</f>
        <v/>
      </c>
      <c r="S78" s="55"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5" t="str">
        <f aca="false">IF($B79=1,G79-J79,"")</f>
        <v/>
      </c>
      <c r="L79" s="56" t="str">
        <f aca="false">IF($B79=1,K79*1000000/Flaeche/12,"")</f>
        <v/>
      </c>
      <c r="M79" s="57" t="str">
        <f aca="false">IF($B79=1,K79*1000000/Wohnungen/12,"")</f>
        <v/>
      </c>
      <c r="N79" s="57" t="str">
        <f aca="false">IF($B79=1,N78+K79,"")</f>
        <v/>
      </c>
      <c r="O79" s="55"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8" t="str">
        <f aca="false">IF($B79=1,1/(1+Diskontsatz)^$A79,"")</f>
        <v/>
      </c>
      <c r="S79" s="55"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5" t="str">
        <f aca="false">IF($B80=1,G80-J80,"")</f>
        <v/>
      </c>
      <c r="L80" s="56" t="str">
        <f aca="false">IF($B80=1,K80*1000000/Flaeche/12,"")</f>
        <v/>
      </c>
      <c r="M80" s="57" t="str">
        <f aca="false">IF($B80=1,K80*1000000/Wohnungen/12,"")</f>
        <v/>
      </c>
      <c r="N80" s="57" t="str">
        <f aca="false">IF($B80=1,N79+K80,"")</f>
        <v/>
      </c>
      <c r="O80" s="55"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8" t="str">
        <f aca="false">IF($B80=1,1/(1+Diskontsatz)^$A80,"")</f>
        <v/>
      </c>
      <c r="S80" s="55"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5" t="str">
        <f aca="false">IF($B81=1,G81-J81,"")</f>
        <v/>
      </c>
      <c r="L81" s="56" t="str">
        <f aca="false">IF($B81=1,K81*1000000/Flaeche/12,"")</f>
        <v/>
      </c>
      <c r="M81" s="57" t="str">
        <f aca="false">IF($B81=1,K81*1000000/Wohnungen/12,"")</f>
        <v/>
      </c>
      <c r="N81" s="57" t="str">
        <f aca="false">IF($B81=1,N80+K81,"")</f>
        <v/>
      </c>
      <c r="O81" s="55"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8" t="str">
        <f aca="false">IF($B81=1,1/(1+Diskontsatz)^$A81,"")</f>
        <v/>
      </c>
      <c r="S81" s="55"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5" t="str">
        <f aca="false">IF($B82=1,G82-J82,"")</f>
        <v/>
      </c>
      <c r="L82" s="56" t="str">
        <f aca="false">IF($B82=1,K82*1000000/Flaeche/12,"")</f>
        <v/>
      </c>
      <c r="M82" s="57" t="str">
        <f aca="false">IF($B82=1,K82*1000000/Wohnungen/12,"")</f>
        <v/>
      </c>
      <c r="N82" s="57" t="str">
        <f aca="false">IF($B82=1,N81+K82,"")</f>
        <v/>
      </c>
      <c r="O82" s="55"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8" t="str">
        <f aca="false">IF($B82=1,1/(1+Diskontsatz)^$A82,"")</f>
        <v/>
      </c>
      <c r="S82" s="55"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5" t="str">
        <f aca="false">IF($B83=1,G83-J83,"")</f>
        <v/>
      </c>
      <c r="L83" s="56" t="str">
        <f aca="false">IF($B83=1,K83*1000000/Flaeche/12,"")</f>
        <v/>
      </c>
      <c r="M83" s="57" t="str">
        <f aca="false">IF($B83=1,K83*1000000/Wohnungen/12,"")</f>
        <v/>
      </c>
      <c r="N83" s="57" t="str">
        <f aca="false">IF($B83=1,N82+K83,"")</f>
        <v/>
      </c>
      <c r="O83" s="55"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8" t="str">
        <f aca="false">IF($B83=1,1/(1+Diskontsatz)^$A83,"")</f>
        <v/>
      </c>
      <c r="S83" s="55"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5" t="str">
        <f aca="false">IF($B84=1,G84-J84,"")</f>
        <v/>
      </c>
      <c r="L84" s="56" t="str">
        <f aca="false">IF($B84=1,K84*1000000/Flaeche/12,"")</f>
        <v/>
      </c>
      <c r="M84" s="57" t="str">
        <f aca="false">IF($B84=1,K84*1000000/Wohnungen/12,"")</f>
        <v/>
      </c>
      <c r="N84" s="57" t="str">
        <f aca="false">IF($B84=1,N83+K84,"")</f>
        <v/>
      </c>
      <c r="O84" s="55"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8" t="str">
        <f aca="false">IF($B84=1,1/(1+Diskontsatz)^$A84,"")</f>
        <v/>
      </c>
      <c r="S84" s="55"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5" t="str">
        <f aca="false">IF($B85=1,G85-J85,"")</f>
        <v/>
      </c>
      <c r="L85" s="56" t="str">
        <f aca="false">IF($B85=1,K85*1000000/Flaeche/12,"")</f>
        <v/>
      </c>
      <c r="M85" s="57" t="str">
        <f aca="false">IF($B85=1,K85*1000000/Wohnungen/12,"")</f>
        <v/>
      </c>
      <c r="N85" s="57" t="str">
        <f aca="false">IF($B85=1,N84+K85,"")</f>
        <v/>
      </c>
      <c r="O85" s="55"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8" t="str">
        <f aca="false">IF($B85=1,1/(1+Diskontsatz)^$A85,"")</f>
        <v/>
      </c>
      <c r="S85" s="55"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5" t="str">
        <f aca="false">IF($B86=1,G86-J86,"")</f>
        <v/>
      </c>
      <c r="L86" s="56" t="str">
        <f aca="false">IF($B86=1,K86*1000000/Flaeche/12,"")</f>
        <v/>
      </c>
      <c r="M86" s="57" t="str">
        <f aca="false">IF($B86=1,K86*1000000/Wohnungen/12,"")</f>
        <v/>
      </c>
      <c r="N86" s="57" t="str">
        <f aca="false">IF($B86=1,N85+K86,"")</f>
        <v/>
      </c>
      <c r="O86" s="55"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8" t="str">
        <f aca="false">IF($B86=1,1/(1+Diskontsatz)^$A86,"")</f>
        <v/>
      </c>
      <c r="S86" s="55"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5" t="str">
        <f aca="false">IF($B87=1,G87-J87,"")</f>
        <v/>
      </c>
      <c r="L87" s="56" t="str">
        <f aca="false">IF($B87=1,K87*1000000/Flaeche/12,"")</f>
        <v/>
      </c>
      <c r="M87" s="57" t="str">
        <f aca="false">IF($B87=1,K87*1000000/Wohnungen/12,"")</f>
        <v/>
      </c>
      <c r="N87" s="57" t="str">
        <f aca="false">IF($B87=1,N86+K87,"")</f>
        <v/>
      </c>
      <c r="O87" s="55"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8" t="str">
        <f aca="false">IF($B87=1,1/(1+Diskontsatz)^$A87,"")</f>
        <v/>
      </c>
      <c r="S87" s="55"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5" t="str">
        <f aca="false">IF($B88=1,G88-J88,"")</f>
        <v/>
      </c>
      <c r="L88" s="56" t="str">
        <f aca="false">IF($B88=1,K88*1000000/Flaeche/12,"")</f>
        <v/>
      </c>
      <c r="M88" s="57" t="str">
        <f aca="false">IF($B88=1,K88*1000000/Wohnungen/12,"")</f>
        <v/>
      </c>
      <c r="N88" s="57" t="str">
        <f aca="false">IF($B88=1,N87+K88,"")</f>
        <v/>
      </c>
      <c r="O88" s="55"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8" t="str">
        <f aca="false">IF($B88=1,1/(1+Diskontsatz)^$A88,"")</f>
        <v/>
      </c>
      <c r="S88" s="55"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5" t="str">
        <f aca="false">IF($B89=1,G89-J89,"")</f>
        <v/>
      </c>
      <c r="L89" s="56" t="str">
        <f aca="false">IF($B89=1,K89*1000000/Flaeche/12,"")</f>
        <v/>
      </c>
      <c r="M89" s="57" t="str">
        <f aca="false">IF($B89=1,K89*1000000/Wohnungen/12,"")</f>
        <v/>
      </c>
      <c r="N89" s="57" t="str">
        <f aca="false">IF($B89=1,N88+K89,"")</f>
        <v/>
      </c>
      <c r="O89" s="55"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8" t="str">
        <f aca="false">IF($B89=1,1/(1+Diskontsatz)^$A89,"")</f>
        <v/>
      </c>
      <c r="S89" s="55"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5" t="str">
        <f aca="false">IF($B90=1,G90-J90,"")</f>
        <v/>
      </c>
      <c r="L90" s="56" t="str">
        <f aca="false">IF($B90=1,K90*1000000/Flaeche/12,"")</f>
        <v/>
      </c>
      <c r="M90" s="57" t="str">
        <f aca="false">IF($B90=1,K90*1000000/Wohnungen/12,"")</f>
        <v/>
      </c>
      <c r="N90" s="57" t="str">
        <f aca="false">IF($B90=1,N89+K90,"")</f>
        <v/>
      </c>
      <c r="O90" s="55"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8" t="str">
        <f aca="false">IF($B90=1,1/(1+Diskontsatz)^$A90,"")</f>
        <v/>
      </c>
      <c r="S90" s="55"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5" t="str">
        <f aca="false">IF($B91=1,G91-J91,"")</f>
        <v/>
      </c>
      <c r="L91" s="56" t="str">
        <f aca="false">IF($B91=1,K91*1000000/Flaeche/12,"")</f>
        <v/>
      </c>
      <c r="M91" s="57" t="str">
        <f aca="false">IF($B91=1,K91*1000000/Wohnungen/12,"")</f>
        <v/>
      </c>
      <c r="N91" s="57" t="str">
        <f aca="false">IF($B91=1,N90+K91,"")</f>
        <v/>
      </c>
      <c r="O91" s="55"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8" t="str">
        <f aca="false">IF($B91=1,1/(1+Diskontsatz)^$A91,"")</f>
        <v/>
      </c>
      <c r="S91" s="55"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5" t="str">
        <f aca="false">IF($B92=1,G92-J92,"")</f>
        <v/>
      </c>
      <c r="L92" s="56" t="str">
        <f aca="false">IF($B92=1,K92*1000000/Flaeche/12,"")</f>
        <v/>
      </c>
      <c r="M92" s="57" t="str">
        <f aca="false">IF($B92=1,K92*1000000/Wohnungen/12,"")</f>
        <v/>
      </c>
      <c r="N92" s="57" t="str">
        <f aca="false">IF($B92=1,N91+K92,"")</f>
        <v/>
      </c>
      <c r="O92" s="55"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8" t="str">
        <f aca="false">IF($B92=1,1/(1+Diskontsatz)^$A92,"")</f>
        <v/>
      </c>
      <c r="S92" s="55"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5" t="str">
        <f aca="false">IF($B93=1,G93-J93,"")</f>
        <v/>
      </c>
      <c r="L93" s="56" t="str">
        <f aca="false">IF($B93=1,K93*1000000/Flaeche/12,"")</f>
        <v/>
      </c>
      <c r="M93" s="57" t="str">
        <f aca="false">IF($B93=1,K93*1000000/Wohnungen/12,"")</f>
        <v/>
      </c>
      <c r="N93" s="57" t="str">
        <f aca="false">IF($B93=1,N92+K93,"")</f>
        <v/>
      </c>
      <c r="O93" s="55"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8" t="str">
        <f aca="false">IF($B93=1,1/(1+Diskontsatz)^$A93,"")</f>
        <v/>
      </c>
      <c r="S93" s="55"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5" t="str">
        <f aca="false">IF($B94=1,G94-J94,"")</f>
        <v/>
      </c>
      <c r="L94" s="56" t="str">
        <f aca="false">IF($B94=1,K94*1000000/Flaeche/12,"")</f>
        <v/>
      </c>
      <c r="M94" s="57" t="str">
        <f aca="false">IF($B94=1,K94*1000000/Wohnungen/12,"")</f>
        <v/>
      </c>
      <c r="N94" s="57" t="str">
        <f aca="false">IF($B94=1,N93+K94,"")</f>
        <v/>
      </c>
      <c r="O94" s="55"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8" t="str">
        <f aca="false">IF($B94=1,1/(1+Diskontsatz)^$A94,"")</f>
        <v/>
      </c>
      <c r="S94" s="55"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5" t="str">
        <f aca="false">IF($B95=1,G95-J95,"")</f>
        <v/>
      </c>
      <c r="L95" s="56" t="str">
        <f aca="false">IF($B95=1,K95*1000000/Flaeche/12,"")</f>
        <v/>
      </c>
      <c r="M95" s="57" t="str">
        <f aca="false">IF($B95=1,K95*1000000/Wohnungen/12,"")</f>
        <v/>
      </c>
      <c r="N95" s="57" t="str">
        <f aca="false">IF($B95=1,N94+K95,"")</f>
        <v/>
      </c>
      <c r="O95" s="55"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8" t="str">
        <f aca="false">IF($B95=1,1/(1+Diskontsatz)^$A95,"")</f>
        <v/>
      </c>
      <c r="S95" s="55"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5" t="str">
        <f aca="false">IF($B96=1,G96-J96,"")</f>
        <v/>
      </c>
      <c r="L96" s="56" t="str">
        <f aca="false">IF($B96=1,K96*1000000/Flaeche/12,"")</f>
        <v/>
      </c>
      <c r="M96" s="57" t="str">
        <f aca="false">IF($B96=1,K96*1000000/Wohnungen/12,"")</f>
        <v/>
      </c>
      <c r="N96" s="57" t="str">
        <f aca="false">IF($B96=1,N95+K96,"")</f>
        <v/>
      </c>
      <c r="O96" s="55"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8" t="str">
        <f aca="false">IF($B96=1,1/(1+Diskontsatz)^$A96,"")</f>
        <v/>
      </c>
      <c r="S96" s="55"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5" t="str">
        <f aca="false">IF($B97=1,G97-J97,"")</f>
        <v/>
      </c>
      <c r="L97" s="56" t="str">
        <f aca="false">IF($B97=1,K97*1000000/Flaeche/12,"")</f>
        <v/>
      </c>
      <c r="M97" s="57" t="str">
        <f aca="false">IF($B97=1,K97*1000000/Wohnungen/12,"")</f>
        <v/>
      </c>
      <c r="N97" s="57" t="str">
        <f aca="false">IF($B97=1,N96+K97,"")</f>
        <v/>
      </c>
      <c r="O97" s="55"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8" t="str">
        <f aca="false">IF($B97=1,1/(1+Diskontsatz)^$A97,"")</f>
        <v/>
      </c>
      <c r="S97" s="55"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5" t="str">
        <f aca="false">IF($B98=1,G98-J98,"")</f>
        <v/>
      </c>
      <c r="L98" s="56" t="str">
        <f aca="false">IF($B98=1,K98*1000000/Flaeche/12,"")</f>
        <v/>
      </c>
      <c r="M98" s="57" t="str">
        <f aca="false">IF($B98=1,K98*1000000/Wohnungen/12,"")</f>
        <v/>
      </c>
      <c r="N98" s="57" t="str">
        <f aca="false">IF($B98=1,N97+K98,"")</f>
        <v/>
      </c>
      <c r="O98" s="55"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8" t="str">
        <f aca="false">IF($B98=1,1/(1+Diskontsatz)^$A98,"")</f>
        <v/>
      </c>
      <c r="S98" s="55"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5" t="str">
        <f aca="false">IF($B99=1,G99-J99,"")</f>
        <v/>
      </c>
      <c r="L99" s="56" t="str">
        <f aca="false">IF($B99=1,K99*1000000/Flaeche/12,"")</f>
        <v/>
      </c>
      <c r="M99" s="57" t="str">
        <f aca="false">IF($B99=1,K99*1000000/Wohnungen/12,"")</f>
        <v/>
      </c>
      <c r="N99" s="57" t="str">
        <f aca="false">IF($B99=1,N98+K99,"")</f>
        <v/>
      </c>
      <c r="O99" s="55"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8" t="str">
        <f aca="false">IF($B99=1,1/(1+Diskontsatz)^$A99,"")</f>
        <v/>
      </c>
      <c r="S99" s="55"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5" t="str">
        <f aca="false">IF($B100=1,G100-J100,"")</f>
        <v/>
      </c>
      <c r="L100" s="56" t="str">
        <f aca="false">IF($B100=1,K100*1000000/Flaeche/12,"")</f>
        <v/>
      </c>
      <c r="M100" s="57" t="str">
        <f aca="false">IF($B100=1,K100*1000000/Wohnungen/12,"")</f>
        <v/>
      </c>
      <c r="N100" s="57" t="str">
        <f aca="false">IF($B100=1,N99+K100,"")</f>
        <v/>
      </c>
      <c r="O100" s="55"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8" t="str">
        <f aca="false">IF($B100=1,1/(1+Diskontsatz)^$A100,"")</f>
        <v/>
      </c>
      <c r="S100" s="55"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5" t="str">
        <f aca="false">IF($B101=1,G101-J101,"")</f>
        <v/>
      </c>
      <c r="L101" s="56" t="str">
        <f aca="false">IF($B101=1,K101*1000000/Flaeche/12,"")</f>
        <v/>
      </c>
      <c r="M101" s="57" t="str">
        <f aca="false">IF($B101=1,K101*1000000/Wohnungen/12,"")</f>
        <v/>
      </c>
      <c r="N101" s="57" t="str">
        <f aca="false">IF($B101=1,N100+K101,"")</f>
        <v/>
      </c>
      <c r="O101" s="55"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8" t="str">
        <f aca="false">IF($B101=1,1/(1+Diskontsatz)^$A101,"")</f>
        <v/>
      </c>
      <c r="S101" s="55"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5" t="str">
        <f aca="false">IF($B102=1,G102-J102,"")</f>
        <v/>
      </c>
      <c r="L102" s="56" t="str">
        <f aca="false">IF($B102=1,K102*1000000/Flaeche/12,"")</f>
        <v/>
      </c>
      <c r="M102" s="57" t="str">
        <f aca="false">IF($B102=1,K102*1000000/Wohnungen/12,"")</f>
        <v/>
      </c>
      <c r="N102" s="57" t="str">
        <f aca="false">IF($B102=1,N101+K102,"")</f>
        <v/>
      </c>
      <c r="O102" s="55"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8" t="str">
        <f aca="false">IF($B102=1,1/(1+Diskontsatz)^$A102,"")</f>
        <v/>
      </c>
      <c r="S102" s="55"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5" t="str">
        <f aca="false">IF($B103=1,G103-J103,"")</f>
        <v/>
      </c>
      <c r="L103" s="56" t="str">
        <f aca="false">IF($B103=1,K103*1000000/Flaeche/12,"")</f>
        <v/>
      </c>
      <c r="M103" s="57" t="str">
        <f aca="false">IF($B103=1,K103*1000000/Wohnungen/12,"")</f>
        <v/>
      </c>
      <c r="N103" s="57" t="str">
        <f aca="false">IF($B103=1,N102+K103,"")</f>
        <v/>
      </c>
      <c r="O103" s="55"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8" t="str">
        <f aca="false">IF($B103=1,1/(1+Diskontsatz)^$A103,"")</f>
        <v/>
      </c>
      <c r="S103" s="55"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5" t="str">
        <f aca="false">IF($B104=1,G104-J104,"")</f>
        <v/>
      </c>
      <c r="L104" s="56" t="str">
        <f aca="false">IF($B104=1,K104*1000000/Flaeche/12,"")</f>
        <v/>
      </c>
      <c r="M104" s="57" t="str">
        <f aca="false">IF($B104=1,K104*1000000/Wohnungen/12,"")</f>
        <v/>
      </c>
      <c r="N104" s="57" t="str">
        <f aca="false">IF($B104=1,N103+K104,"")</f>
        <v/>
      </c>
      <c r="O104" s="55"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8" t="str">
        <f aca="false">IF($B104=1,1/(1+Diskontsatz)^$A104,"")</f>
        <v/>
      </c>
      <c r="S104" s="55"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175</v>
      </c>
    </row>
    <row r="3" customFormat="false" ht="35.05" hidden="false" customHeight="false" outlineLevel="0" collapsed="false">
      <c r="B3" s="3" t="s">
        <v>176</v>
      </c>
    </row>
    <row r="4" customFormat="false" ht="15" hidden="false" customHeight="false" outlineLevel="0" collapsed="false">
      <c r="B4" s="3" t="s">
        <v>177</v>
      </c>
    </row>
    <row r="5" customFormat="false" ht="15" hidden="false" customHeight="false" outlineLevel="0" collapsed="false">
      <c r="B5" s="3" t="s">
        <v>178</v>
      </c>
    </row>
    <row r="6" customFormat="false" ht="15" hidden="false" customHeight="false" outlineLevel="0" collapsed="false">
      <c r="B6" s="3" t="s">
        <v>179</v>
      </c>
    </row>
    <row r="7" customFormat="false" ht="15" hidden="false" customHeight="false" outlineLevel="0" collapsed="false">
      <c r="B7" s="3" t="s">
        <v>180</v>
      </c>
    </row>
    <row r="8" customFormat="false" ht="15" hidden="false" customHeight="false" outlineLevel="0" collapsed="false">
      <c r="B8" s="3" t="s">
        <v>181</v>
      </c>
    </row>
    <row r="9" customFormat="false" ht="15" hidden="false" customHeight="false" outlineLevel="0" collapsed="false">
      <c r="B9" s="3" t="s">
        <v>182</v>
      </c>
    </row>
    <row r="10" customFormat="false" ht="15" hidden="false" customHeight="false" outlineLevel="0" collapsed="false">
      <c r="B10" s="3" t="s">
        <v>183</v>
      </c>
    </row>
    <row r="11" customFormat="false" ht="15" hidden="false" customHeight="false" outlineLevel="0" collapsed="false">
      <c r="B11" s="3" t="s">
        <v>184</v>
      </c>
    </row>
    <row r="12" customFormat="false" ht="15" hidden="false" customHeight="false" outlineLevel="0" collapsed="false">
      <c r="B12" s="3" t="s">
        <v>185</v>
      </c>
    </row>
    <row r="13" customFormat="false" ht="15" hidden="false" customHeight="false" outlineLevel="0" collapsed="false">
      <c r="B13" s="3" t="s">
        <v>186</v>
      </c>
    </row>
    <row r="14" customFormat="false" ht="15" hidden="false" customHeight="false" outlineLevel="0" collapsed="false">
      <c r="B14" s="3"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2026-10-26T15:55:39Z</dcterms:created>
  <dc:creator>openpyxl</dc:creator>
  <dc:description/>
  <dc:language>en-US</dc:language>
  <cp:lastModifiedBy/>
  <dcterms:modified xsi:type="dcterms:W3CDTF">2026-10-26T15:55:39Z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