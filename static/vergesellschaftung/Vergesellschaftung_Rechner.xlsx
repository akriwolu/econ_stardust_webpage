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Annahmen!$C$28</definedName>
    <definedName function="false" hidden="false" name="AF_FK" vbProcedure="false">Annahmen!$C$29</definedName>
    <definedName function="false" hidden="false" name="B1" vbProcedure="false">Ergebnis!$C$5</definedName>
    <definedName function="false" hidden="false" name="Bewirtschaftung" vbProcedure="false">Annahmen!$C$10</definedName>
    <definedName function="false" hidden="false" name="Diskontsatz" vbProcedure="false">Annahmen!$C$32</definedName>
    <definedName function="false" hidden="false" name="Diskont_Eingabe" vbProcedure="false">Annahmen!$C$19</definedName>
    <definedName function="false" hidden="false" name="Eigenkapital" vbProcedure="false">Annahmen!$C$25</definedName>
    <definedName function="false" hidden="false" name="EK_Quote" vbProcedure="false">Annahmen!$C$12</definedName>
    <definedName function="false" hidden="false" name="Entschaedigung" vbProcedure="false">Annahmen!$C$5</definedName>
    <definedName function="false" hidden="false" name="Flaeche" vbProcedure="false">Annahmen!$C$24</definedName>
    <definedName function="false" hidden="false" name="Flaeche_je_WE" vbProcedure="false">Annahmen!$C$7</definedName>
    <definedName function="false" hidden="false" name="Fremdkapital" vbProcedure="false">Annahmen!$C$26</definedName>
    <definedName function="false" hidden="false" name="HH_Ausgaben" vbProcedure="false">Annahmen!$C$36</definedName>
    <definedName function="false" hidden="false" name="HH_Defizit" vbProcedure="false">Annahmen!$C$37</definedName>
    <definedName function="false" hidden="false" name="HH_EP10" vbProcedure="false">Annahmen!$C$38</definedName>
    <definedName function="false" hidden="false" name="HH_Schulden" vbProcedure="false">Annahmen!$C$40</definedName>
    <definedName function="false" hidden="false" name="HH_Spielraum" vbProcedure="false">Annahmen!$C$39</definedName>
    <definedName function="false" hidden="false" name="Horizont" vbProcedure="false">Annahmen!$C$18</definedName>
    <definedName function="false" hidden="false" name="KD_EK_Jahr" vbProcedure="false">Annahmen!$C$30</definedName>
    <definedName function="false" hidden="false" name="KD_FK_Jahr" vbProcedure="false">Annahmen!$C$31</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arktrendite" vbProcedure="false">Annahmen!$C$20</definedName>
    <definedName function="false" hidden="false" name="Miete" vbProcedure="false">Annahmen!$C$8</definedName>
    <definedName function="false" hidden="false" name="Mietsteigerung" vbProcedure="false">Annahmen!$C$9</definedName>
    <definedName function="false" hidden="false" name="Nur_Zinsen" vbProcedure="false">Annahmen!$C$27</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Belastung" vbProcedure="false">Zeitreihe!$K$5:$K$104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<sst xmlns="http://schemas.openxmlformats.org/spreadsheetml/2006/main" count="263" uniqueCount="194">
  <si>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</si>
  <si>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</si>
  <si>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</si>
  <si>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DIW aktuell „Vergesellschaftung in Berlin: Teuer für den Haushalt, keine zusätzliche Wohnung“ (Dany-Knedlik, Kholodilin, Kritikos, Kriwoluzky, 2026), Tabelle 2.</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</si>
  <si>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</si>
  <si>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</si>
  <si>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Belastung(t) = Kapitaldienst Land(t) + Kapitaldienst Anstalt(t) − Reinertrag(t).  Positiv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</si>
  <si>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</si>
  <si>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</si>
  <si>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</si>
  <si>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die Belastung im ersten Jahr für mehrere Entschädigungen und Mieten (wie Tabelle 2 im DIW aktuell).</t>
  </si>
  <si>
    <t xml:space="preserve">4. Die DIW-Tabelle 2a erhalten Sie mit den Standardwerten (Zinsen 4 % / 5 %). Das erste Jahr hängt nicht von Miet- und Kostensteigerung ab; setzt man beide auf 0 %, ist die Belastung in allen Jahren gleich hoch.</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</si>
  <si>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</si>
  <si>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</si>
  <si>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</si>
  <si>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</si>
  <si>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</si>
  <si>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</si>
  <si>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</si>
  <si>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</si>
  <si>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Belastung des Landeshaushalts im ersten Jahr</t>
  </si>
  <si>
    <t xml:space="preserve">Wert</t>
  </si>
  <si>
    <t xml:space="preserve">Einheit</t>
  </si>
  <si>
    <t xml:space="preserve">Formel in Worten</t>
  </si>
  <si>
    <t xml:space="preserve">Belastung im ersten Jahr</t>
  </si>
  <si>
    <t xml:space="preserve">Mio. €</t>
  </si>
  <si>
    <t xml:space="preserve">Kapitaldienst − Reinertrag im Jahr 1 (&gt; 0: Zuschuss)</t>
  </si>
  <si>
    <t xml:space="preserve">je m² Wohnfläche und Monat</t>
  </si>
  <si>
    <t xml:space="preserve">€</t>
  </si>
  <si>
    <t xml:space="preserve">Belastung / Fläche / 12</t>
  </si>
  <si>
    <t xml:space="preserve">je Wohnung und Monat</t>
  </si>
  <si>
    <t xml:space="preserve">Belastung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</si>
  <si>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</si>
  <si>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</si>
  <si>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</si>
  <si>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</si>
  <si>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</si>
  <si>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</si>
  <si>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</si>
  <si>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</si>
  <si>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der Belastung im ersten Jahr</t>
  </si>
  <si>
    <t xml:space="preserve">in % des Haushaltsvolumens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</si>
  <si>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</si>
  <si>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</si>
  <si>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</si>
  <si>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</si>
  <si>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</si>
  <si>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</si>
  <si>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</si>
  <si>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</si>
  <si>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positiven Jahresbelastungen</t>
  </si>
  <si>
    <t xml:space="preserve">Netto-Summe (Zuschüsse − Überschüsse)</t>
  </si>
  <si>
    <t xml:space="preserve">Summe aller Jahresbelastungen</t>
  </si>
  <si>
    <t xml:space="preserve">Barwert der Belastungen</t>
  </si>
  <si>
    <t xml:space="preserve">abgezinst mit dem Diskontsatz (Blatt Annahmen)</t>
  </si>
  <si>
    <t xml:space="preserve">Belastung im letzten Jahr</t>
  </si>
  <si>
    <t xml:space="preserve">Maximales kumuliertes Defizit</t>
  </si>
  <si>
    <t xml:space="preserve">höchster Stand der aufsummierten Belastung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</si>
  <si>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</si>
  <si>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</si>
  <si>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</si>
  <si>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</si>
  <si>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</si>
  <si>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</si>
  <si>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</si>
  <si>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</si>
  <si>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</si>
  <si>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</si>
  <si>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</si>
  <si>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</si>
  <si>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</si>
  <si>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</si>
  <si>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</si>
  <si>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</si>
  <si>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</si>
  <si>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</si>
  <si>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</si>
  <si>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Nur bei Zahlung in Schuldverschreibungen (DWE-Anleihemodell)</t>
  </si>
  <si>
    <t xml:space="preserve">Kurswert der Entschädigung bei Marktrendite</t>
  </si>
  <si>
    <t xml:space="preserve">% des Nennwerts</t>
  </si>
  <si>
    <t xml:space="preserve">Barwert der Zahlungen (Annuität zum Zins der Anstalt) zur Marktrendite</t>
  </si>
  <si>
    <t xml:space="preserve">Matrix: Belastung im ersten Jahr nach Entschädigung und Miete</t>
  </si>
  <si>
    <t xml:space="preserve">Zinsen, Eigenkapitalquote, Laufzeiten, Bestand und Bewirtschaftungskosten aus dem Blatt „Annahmen“. Mit den Standardwerten entspricht das Tabelle 2a im DIW aktuell.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</si>
  <si>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</si>
  <si>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</si>
  <si>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</si>
  <si>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</si>
  <si>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Zuschuss aus dem Landeshaushalt. Negativ (rot): Überschuss.</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</si>
  <si>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</si>
  <si>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</si>
  <si>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</si>
  <si>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</si>
  <si>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</si>
  <si>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</si>
  <si>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</si>
  <si>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</si>
  <si>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</si>
  <si>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</si>
  <si>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</si>
  <si>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</si>
  <si>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</si>
  <si>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</si>
  <si>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</si>
  <si>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Grundmodell Holm et al. · 7,08 Ø LWU (IMK 2026) · ≈ 8,00 heutiges Niveau in den Beständen (7,94 Ende 2023, Bernt/Holm 2023).</t>
  </si>
  <si>
    <t xml:space="preserve">Mietsteigerung pro Jahr</t>
  </si>
  <si>
    <t xml:space="preserve">% p.a.</t>
  </si>
  <si>
    <t xml:space="preserve">Holm et al. (2025), Grundmodell 1 % p.a.; Wahlprogramm Die Linke: LWU-Mieterhöhungen max. 1 % p.a.</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</si>
  <si>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</si>
  <si>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</si>
  <si>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t>
  </si>
  <si>
    <t xml:space="preserve">Holm et al. (2025): inflationsbedingt 2 % p.a.</t>
  </si>
  <si>
    <t xml:space="preserve">Eigenkapitalquote (Land, kreditfinanziert)</t>
  </si>
  <si>
    <t xml:space="preserve">Anteil</t>
  </si>
  <si>
    <t xml:space="preserve">Holm et al. (2025): 20 %; IMK (2026): 30 %; Dullien/Krebs (2020): 40 %. DWE-Anleihemodell: 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</si>
  <si>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</si>
  <si>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</si>
  <si>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</si>
  <si>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DIW Tabelle 2b: Zinsen jeweils +1 Pp.</t>
  </si>
  <si>
    <t xml:space="preserve">Laufzeit Eigenkapital-Kredit</t>
  </si>
  <si>
    <t xml:space="preserve">DIW aktuell: 50 Jahre; IMK: 40; Holm: 30/60/90; DWE-Entwurf: 100.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</si>
  <si>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</si>
  <si>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</si>
  <si>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</si>
  <si>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</si>
  <si>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</si>
  <si>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</si>
  <si>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</si>
  <si>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</si>
  <si>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</si>
  <si>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</si>
  <si>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Marktrendite (nur für Kurswert der Entschädigung)</t>
  </si>
  <si>
    <t xml:space="preserve">Nur relevant, wenn die Entschädigung in Schuldverschreibungen gezahlt wird (DWE-Anleihemodell): Kurswert = Barwert der Annuität zur Marktrendite.</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</si>
  <si>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</si>
  <si>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</si>
  <si>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</si>
  <si>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</si>
  <si>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</si>
  <si>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</si>
  <si>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</si>
  <si>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</si>
  <si>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</si>
  <si>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</si>
  <si>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</si>
  <si>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</si>
  <si>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</si>
  <si>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</si>
  <si>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</si>
  <si>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</si>
  <si>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</si>
  <si>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</si>
  <si>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</si>
  <si>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Haushaltsvolumen 2027</t>
  </si>
  <si>
    <t xml:space="preserve">Doppelhaushalt 2026/27 (beschlossen 18.12.2025); 2026: ≈ 45,5 Mrd. €</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</si>
  <si>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</si>
  <si>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</si>
  <si>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</si>
  <si>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</si>
  <si>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</si>
  <si>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</si>
  <si>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</si>
  <si>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</si>
  <si>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</si>
  <si>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Positive Belastung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</si>
  <si>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</si>
  <si>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</si>
  <si>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</si>
  <si>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</si>
  <si>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</si>
  <si>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</si>
  <si>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</si>
  <si>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</si>
  <si>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Belastung Landeshaushalt</t>
  </si>
  <si>
    <t xml:space="preserve">Belastung €/m²/Monat</t>
  </si>
  <si>
    <t xml:space="preserve">Belastung € je Wohnung/Monat</t>
  </si>
  <si>
    <t xml:space="preserve">Belastung kumuliert</t>
  </si>
  <si>
    <t xml:space="preserve">Saldo Anstalt (Reinertrag − KD Anstalt)</t>
  </si>
  <si>
    <t xml:space="preserve">Restschuld EK-Kredit</t>
  </si>
  <si>
    <t xml:space="preserve">Restschuld Anstalt</t>
  </si>
  <si>
    <t xml:space="preserve">Diskontfaktor</t>
  </si>
  <si>
    <t xml:space="preserve">Barwert der Belastung</t>
  </si>
  <si>
    <t xml:space="preserve">Jahr mit Zuschuss</t>
  </si>
  <si>
    <t xml:space="preserve">Quellen</t>
  </si>
  <si>
    <t xml:space="preserve">Dany-Knedlik, G., Kholodilin, K. A., Kritikos, A. S., Kriwoluzky, A. (2026): Vergesellschaftung in Berlin: Teuer für den Haushalt, keine zusätzliche Wohnung. DIW aktuell.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</si>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</sst>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7">
    <numFmt numFmtId="164" formatCode="General"/>
    <numFmt numFmtId="165" formatCode="#,##0;[RED]\-#,##0"/>
    <numFmt numFmtId="166" formatCode="0.00;[RED]\-0.00"/>
    <numFmt numFmtId="167" formatCode="0.0%;[RED]\-0.0%"/>
    <numFmt numFmtId="168" formatCode="0%;[RED]\-0%"/>
    <numFmt numFmtId="169" formatCode="0"/>
    <numFmt numFmtId="170" formatCode="#,##0"/>
    <numFmt numFmtId="171" formatCode="0.0%"/>
    <numFmt numFmtId="172" formatCode="#,##0.0"/>
    <numFmt numFmtId="173" formatCode="0.00"/>
    <numFmt numFmtId="174" formatCode="0%"/>
    <numFmt numFmtId="175" formatCode="#,##0.00"/>
    <numFmt numFmtId="176" formatCode="0.00%"/>
    <numFmt numFmtId="177" formatCode="@"/>
    <numFmt numFmtId="178" formatCode="0.00000"/>
    <numFmt numFmtId="179" formatCode="#,##0.0;[RED]\-#,##0.0"/>
    <numFmt numFmtId="180"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7" fontId="13" fillId="0" borderId="0" xfId="0" applyFont="true" applyBorder="false" applyAlignment="false" applyProtection="false">
      <alignment horizontal="general" vertical="bottom" textRotation="0" wrapText="false" indent="0" shrinkToFit="false"/>
      <protection locked="true" hidden="false"/>
    </xf>
    <xf numFmtId="177"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15" hidden="false" customHeight="false" outlineLevel="0" collapsed="false">
      <c r="B6" s="3"/>
    </row>
    <row r="7" customFormat="false" ht="15" hidden="false" customHeight="false" outlineLevel="0" collapsed="false">
      <c r="B7" s="4" t="s">
        <v>4</v>
      </c>
    </row>
    <row r="8" customFormat="false" ht="35.05" hidden="false" customHeight="false" outlineLevel="0" collapsed="false">
      <c r="B8" s="3" t="s">
        <v>5</v>
      </c>
    </row>
    <row r="9" customFormat="false" ht="23.85" hidden="false" customHeight="false" outlineLevel="0" collapsed="false">
      <c r="B9" s="5" t="s">
        <v>6</v>
      </c>
    </row>
    <row r="10" customFormat="false" ht="15" hidden="false" customHeight="false" outlineLevel="0" collapsed="false">
      <c r="B10" s="3"/>
    </row>
    <row r="11" customFormat="false" ht="15" hidden="false" customHeight="false" outlineLevel="0" collapsed="false">
      <c r="B11" s="4" t="s">
        <v>7</v>
      </c>
    </row>
    <row r="12" customFormat="false" ht="15" hidden="false" customHeight="false" outlineLevel="0" collapsed="false">
      <c r="B12" s="3" t="s">
        <v>8</v>
      </c>
    </row>
    <row r="13" customFormat="false" ht="23.8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15" hidden="false" customHeight="false" outlineLevel="0" collapsed="false">
      <c r="B16" s="3"/>
    </row>
    <row r="17" customFormat="false" ht="15" hidden="false" customHeight="false" outlineLevel="0" collapsed="false">
      <c r="B17" s="4" t="s">
        <v>12</v>
      </c>
    </row>
    <row r="18" customFormat="false" ht="23.85" hidden="false" customHeight="false" outlineLevel="0" collapsed="false">
      <c r="B18" s="3" t="s">
        <v>13</v>
      </c>
    </row>
    <row r="19" customFormat="false" ht="15" hidden="false" customHeight="false" outlineLevel="0" collapsed="false">
      <c r="B19" s="3"/>
    </row>
    <row r="20" customFormat="false" ht="15" hidden="false" customHeight="false" outlineLevel="0" collapsed="false">
      <c r="B20" s="4" t="s">
        <v>14</v>
      </c>
    </row>
    <row r="21" customFormat="false" ht="15" hidden="false" customHeight="false" outlineLevel="0" collapsed="false">
      <c r="B21" s="3" t="s">
        <v>15</v>
      </c>
    </row>
    <row r="22" customFormat="false" ht="15" hidden="false" customHeight="false" outlineLevel="0" collapsed="false">
      <c r="B22" s="3"/>
    </row>
    <row r="23" customFormat="false" ht="15" hidden="false" customHeight="false" outlineLevel="0" collapsed="false">
      <c r="B23" s="4" t="s">
        <v>16</v>
      </c>
    </row>
    <row r="24" customFormat="false" ht="46.25" hidden="false" customHeight="false" outlineLevel="0" collapsed="false">
      <c r="B24" s="3"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18</v>
      </c>
    </row>
    <row r="2" customFormat="false" ht="15" hidden="false" customHeight="false" outlineLevel="0" collapsed="false">
      <c r="B2" s="7" t="s">
        <v>19</v>
      </c>
    </row>
    <row r="4" customFormat="false" ht="15" hidden="false" customHeight="false" outlineLevel="0" collapsed="false">
      <c r="B4" s="8" t="s">
        <v>20</v>
      </c>
      <c r="C4" s="9" t="s">
        <v>21</v>
      </c>
      <c r="D4" s="9" t="s">
        <v>22</v>
      </c>
      <c r="E4" s="9" t="s">
        <v>23</v>
      </c>
    </row>
    <row r="5" customFormat="false" ht="15" hidden="false" customHeight="false" outlineLevel="0" collapsed="false">
      <c r="B5" s="10" t="s">
        <v>24</v>
      </c>
      <c r="C5" s="11" t="n">
        <f aca="false">Zeitreihe!K5</f>
        <v>142.800684459716</v>
      </c>
      <c r="D5" s="12" t="s">
        <v>25</v>
      </c>
      <c r="E5" s="13" t="s">
        <v>26</v>
      </c>
    </row>
    <row r="6" customFormat="false" ht="15" hidden="false" customHeight="false" outlineLevel="0" collapsed="false">
      <c r="B6" s="10" t="s">
        <v>27</v>
      </c>
      <c r="C6" s="14" t="n">
        <f aca="false">Zeitreihe!L5</f>
        <v>0.812845426114048</v>
      </c>
      <c r="D6" s="12" t="s">
        <v>28</v>
      </c>
      <c r="E6" s="13" t="s">
        <v>29</v>
      </c>
    </row>
    <row r="7" customFormat="false" ht="15" hidden="false" customHeight="false" outlineLevel="0" collapsed="false">
      <c r="B7" s="10" t="s">
        <v>30</v>
      </c>
      <c r="C7" s="11" t="n">
        <f aca="false">Zeitreihe!M5</f>
        <v>49.5835709929569</v>
      </c>
      <c r="D7" s="12" t="s">
        <v>28</v>
      </c>
      <c r="E7" s="13" t="s">
        <v>31</v>
      </c>
    </row>
    <row r="8" customFormat="false" ht="15" hidden="false" customHeight="false" outlineLevel="0" collapsed="false">
      <c r="B8" s="12" t="s">
        <v>32</v>
      </c>
      <c r="C8" s="15" t="n">
        <f aca="false">Zeitreihe!G5</f>
        <v>574.4736</v>
      </c>
      <c r="D8" s="12" t="s">
        <v>25</v>
      </c>
      <c r="E8" s="13" t="s">
        <v>33</v>
      </c>
    </row>
    <row r="9" customFormat="false" ht="15" hidden="false" customHeight="false" outlineLevel="0" collapsed="false">
      <c r="B9" s="12" t="s">
        <v>34</v>
      </c>
      <c r="C9" s="15" t="n">
        <f aca="false">Zeitreihe!H5</f>
        <v>125.685541213762</v>
      </c>
      <c r="D9" s="12" t="s">
        <v>25</v>
      </c>
      <c r="E9" s="13" t="s">
        <v>35</v>
      </c>
    </row>
    <row r="10" customFormat="false" ht="15" hidden="false" customHeight="false" outlineLevel="0" collapsed="false">
      <c r="B10" s="12" t="s">
        <v>36</v>
      </c>
      <c r="C10" s="15" t="n">
        <f aca="false">Zeitreihe!I5</f>
        <v>591.588743245954</v>
      </c>
      <c r="D10" s="12" t="s">
        <v>25</v>
      </c>
      <c r="E10" s="13" t="s">
        <v>37</v>
      </c>
    </row>
    <row r="11" customFormat="false" ht="15" hidden="false" customHeight="false" outlineLevel="0" collapsed="false">
      <c r="B11" s="12" t="s">
        <v>38</v>
      </c>
      <c r="C11" s="15" t="n">
        <f aca="false">Zeitreihe!O5</f>
        <v>-17.1151432459538</v>
      </c>
      <c r="D11" s="12" t="s">
        <v>25</v>
      </c>
      <c r="E11" s="13" t="s">
        <v>39</v>
      </c>
    </row>
    <row r="13" customFormat="false" ht="15" hidden="false" customHeight="false" outlineLevel="0" collapsed="false">
      <c r="B13" s="8" t="s">
        <v>40</v>
      </c>
      <c r="C13" s="9" t="s">
        <v>21</v>
      </c>
      <c r="D13" s="9" t="s">
        <v>22</v>
      </c>
      <c r="E13" s="9" t="s">
        <v>23</v>
      </c>
    </row>
    <row r="14" customFormat="false" ht="15" hidden="false" customHeight="false" outlineLevel="0" collapsed="false">
      <c r="B14" s="12" t="s">
        <v>41</v>
      </c>
      <c r="C14" s="16" t="n">
        <f aca="false">B1/HH_Ausgaben</f>
        <v>0.00307098246149927</v>
      </c>
      <c r="D14" s="12" t="s">
        <v>42</v>
      </c>
      <c r="E14" s="13"/>
    </row>
    <row r="15" customFormat="false" ht="15" hidden="false" customHeight="false" outlineLevel="0" collapsed="false">
      <c r="B15" s="12" t="s">
        <v>43</v>
      </c>
      <c r="C15" s="16" t="n">
        <f aca="false">B1/HH_Defizit</f>
        <v>0.03104362705646</v>
      </c>
      <c r="D15" s="12" t="s">
        <v>42</v>
      </c>
      <c r="E15" s="13"/>
    </row>
    <row r="16" customFormat="false" ht="15" hidden="false" customHeight="false" outlineLevel="0" collapsed="false">
      <c r="B16" s="12" t="s">
        <v>44</v>
      </c>
      <c r="C16" s="16" t="n">
        <f aca="false">B1/HH_EP10</f>
        <v>0.0262984685929495</v>
      </c>
      <c r="D16" s="12" t="s">
        <v>42</v>
      </c>
      <c r="E16" s="13"/>
    </row>
    <row r="17" customFormat="false" ht="15" hidden="false" customHeight="false" outlineLevel="0" collapsed="false">
      <c r="B17" s="12" t="s">
        <v>45</v>
      </c>
      <c r="C17" s="17" t="n">
        <f aca="false">B1/HH_Spielraum</f>
        <v>0.178500855574645</v>
      </c>
      <c r="D17" s="12" t="s">
        <v>42</v>
      </c>
      <c r="E17" s="13"/>
    </row>
    <row r="19" customFormat="false" ht="15" hidden="false" customHeight="false" outlineLevel="0" collapsed="false">
      <c r="B19" s="8" t="s">
        <v>46</v>
      </c>
      <c r="C19" s="9" t="s">
        <v>21</v>
      </c>
      <c r="D19" s="9" t="s">
        <v>22</v>
      </c>
      <c r="E19" s="9" t="s">
        <v>23</v>
      </c>
    </row>
    <row r="20" customFormat="false" ht="15" hidden="false" customHeight="false" outlineLevel="0" collapsed="false">
      <c r="B20" s="12" t="s">
        <v>47</v>
      </c>
      <c r="C20" s="18" t="n">
        <f aca="false">Horizont</f>
        <v>50</v>
      </c>
      <c r="D20" s="12" t="s">
        <v>48</v>
      </c>
      <c r="E20" s="13"/>
    </row>
    <row r="21" customFormat="false" ht="15" hidden="false" customHeight="false" outlineLevel="0" collapsed="false">
      <c r="B21" s="12" t="s">
        <v>49</v>
      </c>
      <c r="C21" s="15" t="n">
        <f aca="false">SUMIF(Z_Belastung,"&gt;0")</f>
        <v>12013.2027926495</v>
      </c>
      <c r="D21" s="12" t="s">
        <v>25</v>
      </c>
      <c r="E21" s="13" t="s">
        <v>50</v>
      </c>
    </row>
    <row r="22" customFormat="false" ht="15" hidden="false" customHeight="false" outlineLevel="0" collapsed="false">
      <c r="B22" s="12" t="s">
        <v>51</v>
      </c>
      <c r="C22" s="15" t="n">
        <f aca="false">SUM(Z_Belastung)</f>
        <v>12013.2027926495</v>
      </c>
      <c r="D22" s="12" t="s">
        <v>25</v>
      </c>
      <c r="E22" s="13" t="s">
        <v>52</v>
      </c>
    </row>
    <row r="23" customFormat="false" ht="15" hidden="false" customHeight="false" outlineLevel="0" collapsed="false">
      <c r="B23" s="12" t="s">
        <v>53</v>
      </c>
      <c r="C23" s="15" t="n">
        <f aca="false">SUM(Z_Barwert)</f>
        <v>4258.15411069692</v>
      </c>
      <c r="D23" s="12" t="s">
        <v>25</v>
      </c>
      <c r="E23" s="13" t="s">
        <v>54</v>
      </c>
    </row>
    <row r="24" customFormat="false" ht="15" hidden="false" customHeight="false" outlineLevel="0" collapsed="false">
      <c r="B24" s="12" t="s">
        <v>55</v>
      </c>
      <c r="C24" s="15" t="n">
        <f aca="false">INDEX(Z_Belastung,Horizont)</f>
        <v>443.974112005765</v>
      </c>
      <c r="D24" s="12" t="s">
        <v>25</v>
      </c>
      <c r="E24" s="13"/>
    </row>
    <row r="25" customFormat="false" ht="15" hidden="false" customHeight="false" outlineLevel="0" collapsed="false">
      <c r="B25" s="12" t="s">
        <v>56</v>
      </c>
      <c r="C25" s="15" t="n">
        <f aca="false">MAX(0,MAX(Z_Kum))</f>
        <v>12013.2027926495</v>
      </c>
      <c r="D25" s="12" t="s">
        <v>25</v>
      </c>
      <c r="E25" s="13" t="s">
        <v>57</v>
      </c>
    </row>
    <row r="26" customFormat="false" ht="15" hidden="false" customHeight="false" outlineLevel="0" collapsed="false">
      <c r="B26" s="12" t="s">
        <v>58</v>
      </c>
      <c r="C26" s="18" t="n">
        <f aca="false">COUNT(Z_MitZuschuss)</f>
        <v>50</v>
      </c>
      <c r="D26" s="12" t="s">
        <v>48</v>
      </c>
      <c r="E26" s="13"/>
    </row>
    <row r="27" customFormat="false" ht="15" hidden="false" customHeight="false" outlineLevel="0" collapsed="false">
      <c r="B27" s="12" t="s">
        <v>59</v>
      </c>
      <c r="C27" s="18" t="str">
        <f aca="false">IF(COUNT(Z_MitZuschuss)=0,1,IF(MAX(Z_MitZuschuss)&gt;=Horizont,"nicht im Zeitraum",MAX(Z_MitZuschuss)+1))</f>
        <v>nicht im Zeitraum</v>
      </c>
      <c r="D27" s="12" t="s">
        <v>60</v>
      </c>
      <c r="E27" s="13" t="s">
        <v>61</v>
      </c>
    </row>
    <row r="28" customFormat="false" ht="15" hidden="false" customHeight="false" outlineLevel="0" collapsed="false">
      <c r="B28" s="12" t="s">
        <v>62</v>
      </c>
      <c r="C28" s="19" t="n">
        <f aca="false">INDEX(Z_RestEK,Horizont)+INDEX(Z_RestFK,Horizont)</f>
        <v>0</v>
      </c>
      <c r="D28" s="12" t="s">
        <v>25</v>
      </c>
      <c r="E28" s="13"/>
    </row>
    <row r="30" customFormat="false" ht="15" hidden="false" customHeight="false" outlineLevel="0" collapsed="false">
      <c r="B30" s="8" t="s">
        <v>63</v>
      </c>
      <c r="C30" s="9" t="s">
        <v>21</v>
      </c>
      <c r="D30" s="9" t="s">
        <v>22</v>
      </c>
      <c r="E30" s="9" t="s">
        <v>23</v>
      </c>
    </row>
    <row r="31" customFormat="false" ht="15" hidden="false" customHeight="false" outlineLevel="0" collapsed="false">
      <c r="B31" s="12" t="s">
        <v>64</v>
      </c>
      <c r="C31" s="19" t="n">
        <f aca="false">Eigenkapital</f>
        <v>2700</v>
      </c>
      <c r="D31" s="12" t="s">
        <v>25</v>
      </c>
      <c r="E31" s="13" t="s">
        <v>65</v>
      </c>
    </row>
    <row r="32" customFormat="false" ht="15" hidden="false" customHeight="false" outlineLevel="0" collapsed="false">
      <c r="B32" s="12" t="s">
        <v>66</v>
      </c>
      <c r="C32" s="20" t="n">
        <f aca="false">Eigenkapital/HH_Schulden</f>
        <v>0.0391304347826087</v>
      </c>
      <c r="D32" s="12" t="s">
        <v>42</v>
      </c>
      <c r="E32" s="13" t="s">
        <v>67</v>
      </c>
    </row>
    <row r="33" customFormat="false" ht="15" hidden="false" customHeight="false" outlineLevel="0" collapsed="false">
      <c r="B33" s="12" t="s">
        <v>68</v>
      </c>
      <c r="C33" s="19" t="n">
        <f aca="false">Fremdkapital</f>
        <v>10800</v>
      </c>
      <c r="D33" s="12" t="s">
        <v>25</v>
      </c>
      <c r="E33" s="13" t="s">
        <v>69</v>
      </c>
    </row>
    <row r="35" customFormat="false" ht="15" hidden="false" customHeight="false" outlineLevel="0" collapsed="false">
      <c r="B35" s="8" t="s">
        <v>70</v>
      </c>
      <c r="C35" s="9" t="s">
        <v>21</v>
      </c>
      <c r="D35" s="9" t="s">
        <v>22</v>
      </c>
      <c r="E35" s="9" t="s">
        <v>23</v>
      </c>
    </row>
    <row r="36" customFormat="false" ht="15" hidden="false" customHeight="false" outlineLevel="0" collapsed="false">
      <c r="B36" s="12" t="s">
        <v>71</v>
      </c>
      <c r="C36" s="21" t="n">
        <f aca="false">MAX(0,Zeitreihe!G5)/1000/(EK_Quote*IF(Nur_Zinsen=1,Zins_EK,AF_EK)+(1-EK_Quote)*IF(Nur_Zinsen=1,Zins_FK,AF_FK))</f>
        <v>10.8123123441428</v>
      </c>
      <c r="D36" s="12" t="s">
        <v>72</v>
      </c>
      <c r="E36" s="13" t="s">
        <v>73</v>
      </c>
    </row>
    <row r="37" customFormat="false" ht="15" hidden="false" customHeight="false" outlineLevel="0" collapsed="false">
      <c r="B37" s="12" t="s">
        <v>74</v>
      </c>
      <c r="C37" s="22" t="n">
        <f aca="false">Bewirtschaftung+Zeitreihe!J5*1000000/Flaeche/12</f>
        <v>7.81284542611405</v>
      </c>
      <c r="D37" s="12" t="s">
        <v>75</v>
      </c>
      <c r="E37" s="13" t="s">
        <v>76</v>
      </c>
    </row>
    <row r="39" customFormat="false" ht="15" hidden="false" customHeight="false" outlineLevel="0" collapsed="false">
      <c r="B39" s="8" t="s">
        <v>77</v>
      </c>
      <c r="C39" s="9" t="s">
        <v>21</v>
      </c>
      <c r="D39" s="9" t="s">
        <v>22</v>
      </c>
      <c r="E39" s="9" t="s">
        <v>23</v>
      </c>
    </row>
    <row r="40" customFormat="false" ht="15" hidden="false" customHeight="false" outlineLevel="0" collapsed="false">
      <c r="B40" s="12" t="s">
        <v>78</v>
      </c>
      <c r="C40" s="23" t="n">
        <f aca="false">IF(Nur_Zinsen=1,Zins_FK/Marktrendite,AF_FK/IF(Marktrendite=0,1/Laufzeit_FK,Marktrendite/(1-(1+Marktrendite)^(-Laufzeit_FK))))</f>
        <v>1.15684359846251</v>
      </c>
      <c r="D40" s="12" t="s">
        <v>79</v>
      </c>
      <c r="E40" s="13" t="s">
        <v>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81</v>
      </c>
    </row>
    <row r="2" customFormat="false" ht="15" hidden="false" customHeight="false" outlineLevel="0" collapsed="false">
      <c r="B2" s="7" t="s">
        <v>82</v>
      </c>
    </row>
    <row r="3" customFormat="false" ht="15" hidden="false" customHeight="false" outlineLevel="0" collapsed="false">
      <c r="B3" s="24"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83</v>
      </c>
      <c r="C5" s="25" t="n">
        <f aca="false">1000*(EK_Quote*IF(Nur_Zinsen=1,Zins_EK,AF_EK)+(1-EK_Quote)*IF(Nur_Zinsen=1,Zins_FK,AF_FK))</f>
        <v>53.1314284784975</v>
      </c>
    </row>
    <row r="7" customFormat="false" ht="15" hidden="false" customHeight="false" outlineLevel="0" collapsed="false">
      <c r="B7" s="26" t="s">
        <v>84</v>
      </c>
    </row>
    <row r="8" customFormat="false" ht="15" hidden="false" customHeight="false" outlineLevel="0" collapsed="false">
      <c r="B8" s="27" t="s">
        <v>85</v>
      </c>
      <c r="C8" s="28" t="n">
        <v>4.04</v>
      </c>
      <c r="D8" s="28" t="n">
        <v>6</v>
      </c>
      <c r="E8" s="28" t="n">
        <v>7</v>
      </c>
      <c r="F8" s="28" t="n">
        <v>8</v>
      </c>
      <c r="G8" s="28" t="n">
        <v>9</v>
      </c>
    </row>
    <row r="9" customFormat="false" ht="15" hidden="false" customHeight="false" outlineLevel="0" collapsed="false">
      <c r="B9" s="29" t="n">
        <v>8</v>
      </c>
      <c r="C9" s="30" t="n">
        <f aca="false">$B9*$C$5-(C$8-Bewirtschaftung)*Flaeche*12/1000000</f>
        <v>370.59062782798</v>
      </c>
      <c r="D9" s="30" t="n">
        <f aca="false">$B9*$C$5-(D$8-Bewirtschaftung)*Flaeche*12/1000000</f>
        <v>26.2578278279798</v>
      </c>
      <c r="E9" s="30" t="n">
        <f aca="false">$B9*$C$5-(E$8-Bewirtschaftung)*Flaeche*12/1000000</f>
        <v>-149.42217217202</v>
      </c>
      <c r="F9" s="30" t="n">
        <f aca="false">$B9*$C$5-(F$8-Bewirtschaftung)*Flaeche*12/1000000</f>
        <v>-325.10217217202</v>
      </c>
      <c r="G9" s="30" t="n">
        <f aca="false">$B9*$C$5-(G$8-Bewirtschaftung)*Flaeche*12/1000000</f>
        <v>-500.78217217202</v>
      </c>
    </row>
    <row r="10" customFormat="false" ht="15" hidden="false" customHeight="false" outlineLevel="0" collapsed="false">
      <c r="B10" s="29" t="n">
        <v>11</v>
      </c>
      <c r="C10" s="30" t="n">
        <f aca="false">$B10*$C$5-(C$8-Bewirtschaftung)*Flaeche*12/1000000</f>
        <v>529.984913263472</v>
      </c>
      <c r="D10" s="30" t="n">
        <f aca="false">$B10*$C$5-(D$8-Bewirtschaftung)*Flaeche*12/1000000</f>
        <v>185.652113263472</v>
      </c>
      <c r="E10" s="30" t="n">
        <f aca="false">$B10*$C$5-(E$8-Bewirtschaftung)*Flaeche*12/1000000</f>
        <v>9.97211326347224</v>
      </c>
      <c r="F10" s="30" t="n">
        <f aca="false">$B10*$C$5-(F$8-Bewirtschaftung)*Flaeche*12/1000000</f>
        <v>-165.707886736528</v>
      </c>
      <c r="G10" s="30" t="n">
        <f aca="false">$B10*$C$5-(G$8-Bewirtschaftung)*Flaeche*12/1000000</f>
        <v>-341.387886736528</v>
      </c>
    </row>
    <row r="11" customFormat="false" ht="15" hidden="false" customHeight="false" outlineLevel="0" collapsed="false">
      <c r="B11" s="29" t="n">
        <v>13.5</v>
      </c>
      <c r="C11" s="30" t="n">
        <f aca="false">$B11*$C$5-(C$8-Bewirtschaftung)*Flaeche*12/1000000</f>
        <v>662.813484459716</v>
      </c>
      <c r="D11" s="30" t="n">
        <f aca="false">$B11*$C$5-(D$8-Bewirtschaftung)*Flaeche*12/1000000</f>
        <v>318.480684459716</v>
      </c>
      <c r="E11" s="30" t="n">
        <f aca="false">$B11*$C$5-(E$8-Bewirtschaftung)*Flaeche*12/1000000</f>
        <v>142.800684459716</v>
      </c>
      <c r="F11" s="30" t="n">
        <f aca="false">$B11*$C$5-(F$8-Bewirtschaftung)*Flaeche*12/1000000</f>
        <v>-32.8793155402839</v>
      </c>
      <c r="G11" s="30" t="n">
        <f aca="false">$B11*$C$5-(G$8-Bewirtschaftung)*Flaeche*12/1000000</f>
        <v>-208.559315540284</v>
      </c>
    </row>
    <row r="12" customFormat="false" ht="15" hidden="false" customHeight="false" outlineLevel="0" collapsed="false">
      <c r="B12" s="29" t="n">
        <v>21</v>
      </c>
      <c r="C12" s="30" t="n">
        <f aca="false">$B12*$C$5-(C$8-Bewirtschaftung)*Flaeche*12/1000000</f>
        <v>1061.29919804845</v>
      </c>
      <c r="D12" s="30" t="n">
        <f aca="false">$B12*$C$5-(D$8-Bewirtschaftung)*Flaeche*12/1000000</f>
        <v>716.966398048447</v>
      </c>
      <c r="E12" s="30" t="n">
        <f aca="false">$B12*$C$5-(E$8-Bewirtschaftung)*Flaeche*12/1000000</f>
        <v>541.286398048447</v>
      </c>
      <c r="F12" s="30" t="n">
        <f aca="false">$B12*$C$5-(F$8-Bewirtschaftung)*Flaeche*12/1000000</f>
        <v>365.606398048447</v>
      </c>
      <c r="G12" s="30" t="n">
        <f aca="false">$B12*$C$5-(G$8-Bewirtschaftung)*Flaeche*12/1000000</f>
        <v>189.926398048447</v>
      </c>
    </row>
    <row r="13" customFormat="false" ht="15" hidden="false" customHeight="false" outlineLevel="0" collapsed="false">
      <c r="B13" s="29" t="n">
        <v>29</v>
      </c>
      <c r="C13" s="30" t="n">
        <f aca="false">$B13*$C$5-(C$8-Bewirtschaftung)*Flaeche*12/1000000</f>
        <v>1486.35062587643</v>
      </c>
      <c r="D13" s="30" t="n">
        <f aca="false">$B13*$C$5-(D$8-Bewirtschaftung)*Flaeche*12/1000000</f>
        <v>1142.01782587643</v>
      </c>
      <c r="E13" s="30" t="n">
        <f aca="false">$B13*$C$5-(E$8-Bewirtschaftung)*Flaeche*12/1000000</f>
        <v>966.337825876427</v>
      </c>
      <c r="F13" s="30" t="n">
        <f aca="false">$B13*$C$5-(F$8-Bewirtschaftung)*Flaeche*12/1000000</f>
        <v>790.657825876427</v>
      </c>
      <c r="G13" s="30" t="n">
        <f aca="false">$B13*$C$5-(G$8-Bewirtschaftung)*Flaeche*12/1000000</f>
        <v>614.977825876427</v>
      </c>
    </row>
    <row r="14" customFormat="false" ht="15" hidden="false" customHeight="false" outlineLevel="0" collapsed="false">
      <c r="B14" s="29" t="n">
        <v>36</v>
      </c>
      <c r="C14" s="30" t="n">
        <f aca="false">$B14*$C$5-(C$8-Bewirtschaftung)*Flaeche*12/1000000</f>
        <v>1858.27062522591</v>
      </c>
      <c r="D14" s="30" t="n">
        <f aca="false">$B14*$C$5-(D$8-Bewirtschaftung)*Flaeche*12/1000000</f>
        <v>1513.93782522591</v>
      </c>
      <c r="E14" s="30" t="n">
        <f aca="false">$B14*$C$5-(E$8-Bewirtschaftung)*Flaeche*12/1000000</f>
        <v>1338.25782522591</v>
      </c>
      <c r="F14" s="30" t="n">
        <f aca="false">$B14*$C$5-(F$8-Bewirtschaftung)*Flaeche*12/1000000</f>
        <v>1162.57782522591</v>
      </c>
      <c r="G14" s="30" t="n">
        <f aca="false">$B14*$C$5-(G$8-Bewirtschaftung)*Flaeche*12/1000000</f>
        <v>986.897825225909</v>
      </c>
    </row>
    <row r="16" customFormat="false" ht="15" hidden="false" customHeight="false" outlineLevel="0" collapsed="false">
      <c r="B16" s="26" t="s">
        <v>86</v>
      </c>
    </row>
    <row r="17" customFormat="false" ht="15" hidden="false" customHeight="false" outlineLevel="0" collapsed="false">
      <c r="B17" s="27" t="s">
        <v>85</v>
      </c>
      <c r="C17" s="31" t="n">
        <f aca="false">C8</f>
        <v>4.04</v>
      </c>
      <c r="D17" s="31" t="n">
        <f aca="false">D8</f>
        <v>6</v>
      </c>
      <c r="E17" s="31" t="n">
        <f aca="false">E8</f>
        <v>7</v>
      </c>
      <c r="F17" s="31" t="n">
        <f aca="false">F8</f>
        <v>8</v>
      </c>
      <c r="G17" s="31" t="n">
        <f aca="false">G8</f>
        <v>9</v>
      </c>
    </row>
    <row r="18" customFormat="false" ht="15" hidden="false" customHeight="false" outlineLevel="0" collapsed="false">
      <c r="B18" s="32" t="n">
        <f aca="false">B9</f>
        <v>8</v>
      </c>
      <c r="C18" s="33" t="n">
        <f aca="false">($B18*$C$5*1000000/Flaeche/12)-(C$17-Bewirtschaftung)</f>
        <v>2.10946395621573</v>
      </c>
      <c r="D18" s="33" t="n">
        <f aca="false">($B18*$C$5*1000000/Flaeche/12)-(D$17-Bewirtschaftung)</f>
        <v>0.149463956215732</v>
      </c>
      <c r="E18" s="33" t="n">
        <f aca="false">($B18*$C$5*1000000/Flaeche/12)-(E$17-Bewirtschaftung)</f>
        <v>-0.850536043784268</v>
      </c>
      <c r="F18" s="33" t="n">
        <f aca="false">($B18*$C$5*1000000/Flaeche/12)-(F$17-Bewirtschaftung)</f>
        <v>-1.85053604378427</v>
      </c>
      <c r="G18" s="33" t="n">
        <f aca="false">($B18*$C$5*1000000/Flaeche/12)-(G$17-Bewirtschaftung)</f>
        <v>-2.85053604378427</v>
      </c>
    </row>
    <row r="19" customFormat="false" ht="15" hidden="false" customHeight="false" outlineLevel="0" collapsed="false">
      <c r="B19" s="32" t="n">
        <f aca="false">B10</f>
        <v>11</v>
      </c>
      <c r="C19" s="33" t="n">
        <f aca="false">($B19*$C$5*1000000/Flaeche/12)-(C$17-Bewirtschaftung)</f>
        <v>3.01676293979663</v>
      </c>
      <c r="D19" s="33" t="n">
        <f aca="false">($B19*$C$5*1000000/Flaeche/12)-(D$17-Bewirtschaftung)</f>
        <v>1.05676293979663</v>
      </c>
      <c r="E19" s="33" t="n">
        <f aca="false">($B19*$C$5*1000000/Flaeche/12)-(E$17-Bewirtschaftung)</f>
        <v>0.0567629397966321</v>
      </c>
      <c r="F19" s="33" t="n">
        <f aca="false">($B19*$C$5*1000000/Flaeche/12)-(F$17-Bewirtschaftung)</f>
        <v>-0.943237060203368</v>
      </c>
      <c r="G19" s="33" t="n">
        <f aca="false">($B19*$C$5*1000000/Flaeche/12)-(G$17-Bewirtschaftung)</f>
        <v>-1.94323706020337</v>
      </c>
    </row>
    <row r="20" customFormat="false" ht="15" hidden="false" customHeight="false" outlineLevel="0" collapsed="false">
      <c r="B20" s="32" t="n">
        <f aca="false">B11</f>
        <v>13.5</v>
      </c>
      <c r="C20" s="33" t="n">
        <f aca="false">($B20*$C$5*1000000/Flaeche/12)-(C$17-Bewirtschaftung)</f>
        <v>3.77284542611405</v>
      </c>
      <c r="D20" s="33" t="n">
        <f aca="false">($B20*$C$5*1000000/Flaeche/12)-(D$17-Bewirtschaftung)</f>
        <v>1.81284542611405</v>
      </c>
      <c r="E20" s="33" t="n">
        <f aca="false">($B20*$C$5*1000000/Flaeche/12)-(E$17-Bewirtschaftung)</f>
        <v>0.812845426114048</v>
      </c>
      <c r="F20" s="33" t="n">
        <f aca="false">($B20*$C$5*1000000/Flaeche/12)-(F$17-Bewirtschaftung)</f>
        <v>-0.187154573885952</v>
      </c>
      <c r="G20" s="33" t="n">
        <f aca="false">($B20*$C$5*1000000/Flaeche/12)-(G$17-Bewirtschaftung)</f>
        <v>-1.18715457388595</v>
      </c>
    </row>
    <row r="21" customFormat="false" ht="15" hidden="false" customHeight="false" outlineLevel="0" collapsed="false">
      <c r="B21" s="32" t="n">
        <f aca="false">B12</f>
        <v>21</v>
      </c>
      <c r="C21" s="33" t="n">
        <f aca="false">($B21*$C$5*1000000/Flaeche/12)-(C$17-Bewirtschaftung)</f>
        <v>6.0410928850663</v>
      </c>
      <c r="D21" s="33" t="n">
        <f aca="false">($B21*$C$5*1000000/Flaeche/12)-(D$17-Bewirtschaftung)</f>
        <v>4.0810928850663</v>
      </c>
      <c r="E21" s="33" t="n">
        <f aca="false">($B21*$C$5*1000000/Flaeche/12)-(E$17-Bewirtschaftung)</f>
        <v>3.0810928850663</v>
      </c>
      <c r="F21" s="33" t="n">
        <f aca="false">($B21*$C$5*1000000/Flaeche/12)-(F$17-Bewirtschaftung)</f>
        <v>2.0810928850663</v>
      </c>
      <c r="G21" s="33" t="n">
        <f aca="false">($B21*$C$5*1000000/Flaeche/12)-(G$17-Bewirtschaftung)</f>
        <v>1.0810928850663</v>
      </c>
    </row>
    <row r="22" customFormat="false" ht="15" hidden="false" customHeight="false" outlineLevel="0" collapsed="false">
      <c r="B22" s="32" t="n">
        <f aca="false">B13</f>
        <v>29</v>
      </c>
      <c r="C22" s="33" t="n">
        <f aca="false">($B22*$C$5*1000000/Flaeche/12)-(C$17-Bewirtschaftung)</f>
        <v>8.46055684128203</v>
      </c>
      <c r="D22" s="33" t="n">
        <f aca="false">($B22*$C$5*1000000/Flaeche/12)-(D$17-Bewirtschaftung)</f>
        <v>6.50055684128203</v>
      </c>
      <c r="E22" s="33" t="n">
        <f aca="false">($B22*$C$5*1000000/Flaeche/12)-(E$17-Bewirtschaftung)</f>
        <v>5.50055684128203</v>
      </c>
      <c r="F22" s="33" t="n">
        <f aca="false">($B22*$C$5*1000000/Flaeche/12)-(F$17-Bewirtschaftung)</f>
        <v>4.50055684128203</v>
      </c>
      <c r="G22" s="33" t="n">
        <f aca="false">($B22*$C$5*1000000/Flaeche/12)-(G$17-Bewirtschaftung)</f>
        <v>3.50055684128203</v>
      </c>
    </row>
    <row r="23" customFormat="false" ht="15" hidden="false" customHeight="false" outlineLevel="0" collapsed="false">
      <c r="B23" s="32" t="n">
        <f aca="false">B14</f>
        <v>36</v>
      </c>
      <c r="C23" s="33" t="n">
        <f aca="false">($B23*$C$5*1000000/Flaeche/12)-(C$17-Bewirtschaftung)</f>
        <v>10.5775878029708</v>
      </c>
      <c r="D23" s="33" t="n">
        <f aca="false">($B23*$C$5*1000000/Flaeche/12)-(D$17-Bewirtschaftung)</f>
        <v>8.61758780297079</v>
      </c>
      <c r="E23" s="33" t="n">
        <f aca="false">($B23*$C$5*1000000/Flaeche/12)-(E$17-Bewirtschaftung)</f>
        <v>7.61758780297079</v>
      </c>
      <c r="F23" s="33" t="n">
        <f aca="false">($B23*$C$5*1000000/Flaeche/12)-(F$17-Bewirtschaftung)</f>
        <v>6.61758780297079</v>
      </c>
      <c r="G23" s="33" t="n">
        <f aca="false">($B23*$C$5*1000000/Flaeche/12)-(G$17-Bewirtschaftung)</f>
        <v>5.61758780297079</v>
      </c>
    </row>
    <row r="25" customFormat="false" ht="15" hidden="false" customHeight="false" outlineLevel="0" collapsed="false">
      <c r="B25" s="7" t="s">
        <v>87</v>
      </c>
    </row>
    <row r="26" customFormat="false" ht="15" hidden="false" customHeight="true" outlineLevel="0" collapsed="false">
      <c r="B26" s="34" t="s">
        <v>88</v>
      </c>
      <c r="C26" s="34"/>
      <c r="D26" s="34"/>
      <c r="E26" s="34"/>
      <c r="F26" s="34"/>
      <c r="G26" s="34"/>
    </row>
    <row r="27" customFormat="false" ht="15" hidden="false" customHeight="false" outlineLevel="0" collapsed="false">
      <c r="B27" s="34"/>
      <c r="C27" s="34"/>
      <c r="D27" s="34"/>
      <c r="E27" s="34"/>
      <c r="F27" s="34"/>
      <c r="G27" s="34"/>
    </row>
    <row r="28" customFormat="false" ht="15" hidden="false" customHeight="false" outlineLevel="0" collapsed="false">
      <c r="B28" s="34"/>
      <c r="C28" s="34"/>
      <c r="D28" s="34"/>
      <c r="E28" s="34"/>
      <c r="F28" s="34"/>
      <c r="G28" s="34"/>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89</v>
      </c>
    </row>
    <row r="2" customFormat="false" ht="15" hidden="false" customHeight="false" outlineLevel="0" collapsed="false">
      <c r="B2" s="7" t="s">
        <v>90</v>
      </c>
    </row>
    <row r="4" customFormat="false" ht="15" hidden="false" customHeight="false" outlineLevel="0" collapsed="false">
      <c r="B4" s="9" t="s">
        <v>91</v>
      </c>
      <c r="C4" s="9" t="s">
        <v>21</v>
      </c>
      <c r="D4" s="9" t="s">
        <v>92</v>
      </c>
      <c r="E4" s="9" t="s">
        <v>22</v>
      </c>
      <c r="F4" s="9" t="s">
        <v>93</v>
      </c>
    </row>
    <row r="5" customFormat="false" ht="22.35" hidden="false" customHeight="false" outlineLevel="0" collapsed="false">
      <c r="B5" s="12" t="s">
        <v>94</v>
      </c>
      <c r="C5" s="35" t="n">
        <v>13.5</v>
      </c>
      <c r="D5" s="36" t="n">
        <v>13.5</v>
      </c>
      <c r="E5" s="12" t="s">
        <v>72</v>
      </c>
      <c r="F5" s="37" t="s">
        <v>95</v>
      </c>
    </row>
    <row r="6" customFormat="false" ht="15" hidden="false" customHeight="false" outlineLevel="0" collapsed="false">
      <c r="B6" s="12" t="s">
        <v>96</v>
      </c>
      <c r="C6" s="38" t="n">
        <v>240000</v>
      </c>
      <c r="D6" s="39" t="n">
        <v>240000</v>
      </c>
      <c r="E6" s="12" t="s">
        <v>97</v>
      </c>
      <c r="F6" s="37" t="s">
        <v>98</v>
      </c>
    </row>
    <row r="7" customFormat="false" ht="15" hidden="false" customHeight="false" outlineLevel="0" collapsed="false">
      <c r="B7" s="12" t="s">
        <v>99</v>
      </c>
      <c r="C7" s="38" t="n">
        <v>61</v>
      </c>
      <c r="D7" s="39" t="n">
        <v>61</v>
      </c>
      <c r="E7" s="12" t="s">
        <v>100</v>
      </c>
      <c r="F7" s="37" t="s">
        <v>101</v>
      </c>
    </row>
    <row r="8" customFormat="false" ht="32.8" hidden="false" customHeight="false" outlineLevel="0" collapsed="false">
      <c r="B8" s="12" t="s">
        <v>102</v>
      </c>
      <c r="C8" s="40" t="n">
        <v>7</v>
      </c>
      <c r="D8" s="41" t="n">
        <v>7</v>
      </c>
      <c r="E8" s="12" t="s">
        <v>75</v>
      </c>
      <c r="F8" s="37" t="s">
        <v>103</v>
      </c>
    </row>
    <row r="9" customFormat="false" ht="15" hidden="false" customHeight="false" outlineLevel="0" collapsed="false">
      <c r="B9" s="12" t="s">
        <v>104</v>
      </c>
      <c r="C9" s="42" t="n">
        <v>0.01</v>
      </c>
      <c r="D9" s="43" t="n">
        <v>0.01</v>
      </c>
      <c r="E9" s="12" t="s">
        <v>105</v>
      </c>
      <c r="F9" s="37" t="s">
        <v>106</v>
      </c>
    </row>
    <row r="10" customFormat="false" ht="32.8" hidden="false" customHeight="false" outlineLevel="0" collapsed="false">
      <c r="B10" s="12" t="s">
        <v>107</v>
      </c>
      <c r="C10" s="44" t="n">
        <v>3.73</v>
      </c>
      <c r="D10" s="41" t="n">
        <v>3.73</v>
      </c>
      <c r="E10" s="12" t="s">
        <v>75</v>
      </c>
      <c r="F10" s="37" t="s">
        <v>108</v>
      </c>
    </row>
    <row r="11" customFormat="false" ht="15" hidden="false" customHeight="false" outlineLevel="0" collapsed="false">
      <c r="B11" s="12" t="s">
        <v>109</v>
      </c>
      <c r="C11" s="45" t="n">
        <v>0.02</v>
      </c>
      <c r="D11" s="43" t="n">
        <v>0.02</v>
      </c>
      <c r="E11" s="12" t="s">
        <v>105</v>
      </c>
      <c r="F11" s="37" t="s">
        <v>110</v>
      </c>
    </row>
    <row r="12" customFormat="false" ht="15" hidden="false" customHeight="false" outlineLevel="0" collapsed="false">
      <c r="B12" s="12" t="s">
        <v>111</v>
      </c>
      <c r="C12" s="45" t="n">
        <v>0.2</v>
      </c>
      <c r="D12" s="43" t="n">
        <v>0.2</v>
      </c>
      <c r="E12" s="12" t="s">
        <v>112</v>
      </c>
      <c r="F12" s="37" t="s">
        <v>113</v>
      </c>
    </row>
    <row r="13" customFormat="false" ht="15" hidden="false" customHeight="false" outlineLevel="0" collapsed="false">
      <c r="B13" s="12" t="s">
        <v>114</v>
      </c>
      <c r="C13" s="46" t="n">
        <v>0.04</v>
      </c>
      <c r="D13" s="47" t="n">
        <v>0.04</v>
      </c>
      <c r="E13" s="12" t="s">
        <v>105</v>
      </c>
      <c r="F13" s="37" t="s">
        <v>115</v>
      </c>
    </row>
    <row r="14" customFormat="false" ht="32.8" hidden="false" customHeight="false" outlineLevel="0" collapsed="false">
      <c r="B14" s="12" t="s">
        <v>116</v>
      </c>
      <c r="C14" s="46" t="n">
        <v>0.05</v>
      </c>
      <c r="D14" s="47" t="n">
        <v>0.05</v>
      </c>
      <c r="E14" s="12" t="s">
        <v>105</v>
      </c>
      <c r="F14" s="37" t="s">
        <v>117</v>
      </c>
    </row>
    <row r="15" customFormat="false" ht="15" hidden="false" customHeight="false" outlineLevel="0" collapsed="false">
      <c r="B15" s="12" t="s">
        <v>118</v>
      </c>
      <c r="C15" s="48" t="n">
        <v>50</v>
      </c>
      <c r="D15" s="49" t="n">
        <v>50</v>
      </c>
      <c r="E15" s="12" t="s">
        <v>48</v>
      </c>
      <c r="F15" s="37" t="s">
        <v>119</v>
      </c>
    </row>
    <row r="16" customFormat="false" ht="15" hidden="false" customHeight="false" outlineLevel="0" collapsed="false">
      <c r="B16" s="12" t="s">
        <v>120</v>
      </c>
      <c r="C16" s="48" t="n">
        <v>50</v>
      </c>
      <c r="D16" s="49" t="n">
        <v>50</v>
      </c>
      <c r="E16" s="12" t="s">
        <v>48</v>
      </c>
      <c r="F16" s="37" t="s">
        <v>121</v>
      </c>
    </row>
    <row r="17" customFormat="false" ht="15" hidden="false" customHeight="false" outlineLevel="0" collapsed="false">
      <c r="B17" s="12" t="s">
        <v>122</v>
      </c>
      <c r="C17" s="50" t="s">
        <v>123</v>
      </c>
      <c r="D17" s="51" t="s">
        <v>123</v>
      </c>
      <c r="E17" s="12" t="s">
        <v>124</v>
      </c>
      <c r="F17" s="37" t="s">
        <v>125</v>
      </c>
    </row>
    <row r="18" customFormat="false" ht="15" hidden="false" customHeight="false" outlineLevel="0" collapsed="false">
      <c r="B18" s="12" t="s">
        <v>47</v>
      </c>
      <c r="C18" s="48" t="n">
        <v>50</v>
      </c>
      <c r="D18" s="49" t="n">
        <v>50</v>
      </c>
      <c r="E18" s="12" t="s">
        <v>126</v>
      </c>
      <c r="F18" s="37" t="s">
        <v>127</v>
      </c>
    </row>
    <row r="19" customFormat="false" ht="15" hidden="false" customHeight="false" outlineLevel="0" collapsed="false">
      <c r="B19" s="12" t="s">
        <v>128</v>
      </c>
      <c r="C19" s="52"/>
      <c r="D19" s="47"/>
      <c r="E19" s="12" t="s">
        <v>105</v>
      </c>
      <c r="F19" s="37" t="s">
        <v>129</v>
      </c>
    </row>
    <row r="20" customFormat="false" ht="22.35" hidden="false" customHeight="false" outlineLevel="0" collapsed="false">
      <c r="B20" s="12" t="s">
        <v>130</v>
      </c>
      <c r="C20" s="52" t="n">
        <v>0.041</v>
      </c>
      <c r="D20" s="47" t="n">
        <v>0.041</v>
      </c>
      <c r="E20" s="12" t="s">
        <v>105</v>
      </c>
      <c r="F20" s="37" t="s">
        <v>131</v>
      </c>
    </row>
    <row r="22" customFormat="false" ht="15" hidden="false" customHeight="false" outlineLevel="0" collapsed="false">
      <c r="B22" s="26" t="s">
        <v>132</v>
      </c>
    </row>
    <row r="23" customFormat="false" ht="15" hidden="false" customHeight="false" outlineLevel="0" collapsed="false">
      <c r="B23" s="9" t="s">
        <v>133</v>
      </c>
      <c r="C23" s="9" t="s">
        <v>21</v>
      </c>
      <c r="D23" s="9"/>
      <c r="E23" s="9" t="s">
        <v>22</v>
      </c>
      <c r="F23" s="9" t="s">
        <v>23</v>
      </c>
    </row>
    <row r="24" customFormat="false" ht="15" hidden="false" customHeight="false" outlineLevel="0" collapsed="false">
      <c r="B24" s="12" t="s">
        <v>134</v>
      </c>
      <c r="C24" s="19" t="n">
        <f aca="false">Wohnungen*Flaeche_je_WE</f>
        <v>14640000</v>
      </c>
      <c r="E24" s="12" t="s">
        <v>100</v>
      </c>
      <c r="F24" s="13" t="s">
        <v>135</v>
      </c>
    </row>
    <row r="25" customFormat="false" ht="15" hidden="false" customHeight="false" outlineLevel="0" collapsed="false">
      <c r="B25" s="12" t="s">
        <v>136</v>
      </c>
      <c r="C25" s="19" t="n">
        <f aca="false">EK_Quote*Entschaedigung*1000</f>
        <v>2700</v>
      </c>
      <c r="E25" s="12" t="s">
        <v>25</v>
      </c>
      <c r="F25" s="13" t="s">
        <v>65</v>
      </c>
    </row>
    <row r="26" customFormat="false" ht="15" hidden="false" customHeight="false" outlineLevel="0" collapsed="false">
      <c r="B26" s="12" t="s">
        <v>137</v>
      </c>
      <c r="C26" s="19" t="n">
        <f aca="false">(1-EK_Quote)*Entschaedigung*1000</f>
        <v>10800</v>
      </c>
      <c r="E26" s="12" t="s">
        <v>25</v>
      </c>
      <c r="F26" s="13" t="s">
        <v>138</v>
      </c>
    </row>
    <row r="27" customFormat="false" ht="15" hidden="false" customHeight="false" outlineLevel="0" collapsed="false">
      <c r="B27" s="12" t="s">
        <v>139</v>
      </c>
      <c r="C27" s="18" t="n">
        <f aca="false">IF(Tilgung="nur Zinsen",1,0)</f>
        <v>0</v>
      </c>
      <c r="E27" s="12"/>
      <c r="F27" s="13"/>
    </row>
    <row r="28" customFormat="false" ht="15" hidden="false" customHeight="false" outlineLevel="0" collapsed="false">
      <c r="B28" s="12" t="s">
        <v>140</v>
      </c>
      <c r="C28" s="53" t="n">
        <f aca="false">IF(Zins_EK=0,1/Laufzeit_EK,Zins_EK/(1-(1+Zins_EK)^(-Laufzeit_EK)))</f>
        <v>0.0465502004495415</v>
      </c>
      <c r="E28" s="12"/>
      <c r="F28" s="13" t="s">
        <v>141</v>
      </c>
    </row>
    <row r="29" customFormat="false" ht="15" hidden="false" customHeight="false" outlineLevel="0" collapsed="false">
      <c r="B29" s="12" t="s">
        <v>142</v>
      </c>
      <c r="C29" s="53" t="n">
        <f aca="false">IF(Zins_FK=0,1/Laufzeit_FK,Zins_FK/(1-(1+Zins_FK)^(-Laufzeit_FK)))</f>
        <v>0.0547767354857365</v>
      </c>
      <c r="E29" s="12"/>
      <c r="F29" s="13" t="s">
        <v>141</v>
      </c>
    </row>
    <row r="30" customFormat="false" ht="15" hidden="false" customHeight="false" outlineLevel="0" collapsed="false">
      <c r="B30" s="12" t="s">
        <v>143</v>
      </c>
      <c r="C30" s="21" t="n">
        <f aca="false">Eigenkapital*IF(Nur_Zinsen=1,Zins_EK,AF_EK)</f>
        <v>125.685541213762</v>
      </c>
      <c r="E30" s="12" t="s">
        <v>25</v>
      </c>
      <c r="F30" s="13" t="s">
        <v>144</v>
      </c>
    </row>
    <row r="31" customFormat="false" ht="15" hidden="false" customHeight="false" outlineLevel="0" collapsed="false">
      <c r="B31" s="12" t="s">
        <v>145</v>
      </c>
      <c r="C31" s="21" t="n">
        <f aca="false">Fremdkapital*IF(Nur_Zinsen=1,Zins_FK,AF_FK)</f>
        <v>591.588743245954</v>
      </c>
      <c r="E31" s="12" t="s">
        <v>25</v>
      </c>
      <c r="F31" s="13" t="s">
        <v>146</v>
      </c>
    </row>
    <row r="32" customFormat="false" ht="15" hidden="false" customHeight="false" outlineLevel="0" collapsed="false">
      <c r="B32" s="12" t="s">
        <v>147</v>
      </c>
      <c r="C32" s="54" t="n">
        <f aca="false">IF(ISBLANK(Diskont_Eingabe),Zins_EK,Diskont_Eingabe)</f>
        <v>0.04</v>
      </c>
      <c r="E32" s="12" t="s">
        <v>105</v>
      </c>
      <c r="F32" s="13" t="s">
        <v>148</v>
      </c>
    </row>
    <row r="34" customFormat="false" ht="15" hidden="false" customHeight="false" outlineLevel="0" collapsed="false">
      <c r="B34" s="26" t="s">
        <v>149</v>
      </c>
    </row>
    <row r="35" customFormat="false" ht="15" hidden="false" customHeight="false" outlineLevel="0" collapsed="false">
      <c r="B35" s="9" t="s">
        <v>133</v>
      </c>
      <c r="C35" s="9" t="s">
        <v>21</v>
      </c>
      <c r="D35" s="9"/>
      <c r="E35" s="9" t="s">
        <v>22</v>
      </c>
      <c r="F35" s="9" t="s">
        <v>150</v>
      </c>
    </row>
    <row r="36" customFormat="false" ht="15" hidden="false" customHeight="false" outlineLevel="0" collapsed="false">
      <c r="B36" s="12" t="s">
        <v>151</v>
      </c>
      <c r="C36" s="38" t="n">
        <v>46500</v>
      </c>
      <c r="E36" s="12" t="s">
        <v>25</v>
      </c>
      <c r="F36" s="37" t="s">
        <v>152</v>
      </c>
    </row>
    <row r="37" customFormat="false" ht="15" hidden="false" customHeight="false" outlineLevel="0" collapsed="false">
      <c r="B37" s="12" t="s">
        <v>153</v>
      </c>
      <c r="C37" s="38" t="n">
        <v>4600</v>
      </c>
      <c r="E37" s="12" t="s">
        <v>25</v>
      </c>
      <c r="F37" s="37" t="s">
        <v>154</v>
      </c>
    </row>
    <row r="38" customFormat="false" ht="15" hidden="false" customHeight="false" outlineLevel="0" collapsed="false">
      <c r="B38" s="12" t="s">
        <v>155</v>
      </c>
      <c r="C38" s="38" t="n">
        <v>5430</v>
      </c>
      <c r="E38" s="12" t="s">
        <v>25</v>
      </c>
      <c r="F38" s="37" t="s">
        <v>156</v>
      </c>
    </row>
    <row r="39" customFormat="false" ht="15" hidden="false" customHeight="false" outlineLevel="0" collapsed="false">
      <c r="B39" s="12" t="s">
        <v>157</v>
      </c>
      <c r="C39" s="38" t="n">
        <v>800</v>
      </c>
      <c r="E39" s="12" t="s">
        <v>25</v>
      </c>
      <c r="F39" s="37" t="s">
        <v>158</v>
      </c>
    </row>
    <row r="40" customFormat="false" ht="15" hidden="false" customHeight="false" outlineLevel="0" collapsed="false">
      <c r="B40" s="12" t="s">
        <v>159</v>
      </c>
      <c r="C40" s="38" t="n">
        <v>69000</v>
      </c>
      <c r="E40" s="12" t="s">
        <v>25</v>
      </c>
      <c r="F40" s="37" t="s">
        <v>160</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3"/>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161</v>
      </c>
    </row>
    <row r="2" customFormat="false" ht="15" hidden="false" customHeight="false" outlineLevel="0" collapsed="false">
      <c r="A2" s="7" t="s">
        <v>162</v>
      </c>
    </row>
    <row r="4" customFormat="false" ht="54" hidden="false" customHeight="true" outlineLevel="0" collapsed="false">
      <c r="A4" s="55" t="s">
        <v>60</v>
      </c>
      <c r="B4" s="55" t="s">
        <v>163</v>
      </c>
      <c r="C4" s="55" t="s">
        <v>164</v>
      </c>
      <c r="D4" s="55" t="s">
        <v>165</v>
      </c>
      <c r="E4" s="55" t="s">
        <v>166</v>
      </c>
      <c r="F4" s="55" t="s">
        <v>167</v>
      </c>
      <c r="G4" s="55" t="s">
        <v>168</v>
      </c>
      <c r="H4" s="55" t="s">
        <v>169</v>
      </c>
      <c r="I4" s="55" t="s">
        <v>36</v>
      </c>
      <c r="J4" s="55" t="s">
        <v>170</v>
      </c>
      <c r="K4" s="55" t="s">
        <v>171</v>
      </c>
      <c r="L4" s="55" t="s">
        <v>172</v>
      </c>
      <c r="M4" s="55" t="s">
        <v>173</v>
      </c>
      <c r="N4" s="55" t="s">
        <v>174</v>
      </c>
      <c r="O4" s="55" t="s">
        <v>175</v>
      </c>
      <c r="P4" s="55" t="s">
        <v>176</v>
      </c>
      <c r="Q4" s="55" t="s">
        <v>177</v>
      </c>
      <c r="R4" s="55" t="s">
        <v>178</v>
      </c>
      <c r="S4" s="55" t="s">
        <v>179</v>
      </c>
      <c r="T4" s="55" t="s">
        <v>180</v>
      </c>
    </row>
    <row r="5" customFormat="false" ht="15" hidden="false" customHeight="false" outlineLevel="0" collapsed="false">
      <c r="A5" s="18" t="n">
        <v>1</v>
      </c>
      <c r="B5" s="18"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6" t="n">
        <f aca="false">IF($B5=1,J5-G5,"")</f>
        <v>142.800684459716</v>
      </c>
      <c r="L5" s="57" t="n">
        <f aca="false">IF($B5=1,K5*1000000/Flaeche/12,"")</f>
        <v>0.812845426114048</v>
      </c>
      <c r="M5" s="15" t="n">
        <f aca="false">IF($B5=1,K5*1000000/Wohnungen/12,"")</f>
        <v>49.5835709929569</v>
      </c>
      <c r="N5" s="15" t="n">
        <f aca="false">IF($B5=1,K5,"")</f>
        <v>142.800684459716</v>
      </c>
      <c r="O5" s="56" t="n">
        <f aca="false">IF($B5=1,G5-I5,"")</f>
        <v>-17.1151432459538</v>
      </c>
      <c r="P5" s="19" t="n">
        <f aca="false">IF($B5=1,IF(Nur_Zinsen=1,Eigenkapital,IF($A5&gt;=Laufzeit_EK,0,IF(Zins_EK=0,Eigenkapital*(1-$A5/Laufzeit_EK),MAX(0,Eigenkapital*(1+Zins_EK)^$A5-KD_EK_Jahr*((1+Zins_EK)^$A5-1)/Zins_EK)))),"")</f>
        <v>2682.31445878624</v>
      </c>
      <c r="Q5" s="19" t="n">
        <f aca="false">IF($B5=1,IF(Nur_Zinsen=1,Fremdkapital,IF($A5&gt;=Laufzeit_FK,0,IF(Zins_FK=0,Fremdkapital*(1-$A5/Laufzeit_FK),MAX(0,Fremdkapital*(1+Zins_FK)^$A5-KD_FK_Jahr*((1+Zins_FK)^$A5-1)/Zins_FK)))),"")</f>
        <v>10748.411256754</v>
      </c>
      <c r="R5" s="58" t="n">
        <f aca="false">IF($B5=1,1/(1+Diskontsatz)^$A5,"")</f>
        <v>0.961538461538462</v>
      </c>
      <c r="S5" s="56" t="n">
        <f aca="false">IF($B5=1,K5*R5,"")</f>
        <v>137.308350442035</v>
      </c>
      <c r="T5" s="18" t="n">
        <f aca="false">IF($B5=1,IF(K5&gt;0,$A5,""),"")</f>
        <v>1</v>
      </c>
    </row>
    <row r="6" customFormat="false" ht="15" hidden="false" customHeight="false" outlineLevel="0" collapsed="false">
      <c r="A6" s="18" t="n">
        <f aca="false">A5+1</f>
        <v>2</v>
      </c>
      <c r="B6" s="18"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6" t="n">
        <f aca="false">IF($B6=1,J6-G6,"")</f>
        <v>143.608812459716</v>
      </c>
      <c r="L6" s="57" t="n">
        <f aca="false">IF($B6=1,K6*1000000/Flaeche/12,"")</f>
        <v>0.817445426114048</v>
      </c>
      <c r="M6" s="15" t="n">
        <f aca="false">IF($B6=1,K6*1000000/Wohnungen/12,"")</f>
        <v>49.8641709929569</v>
      </c>
      <c r="N6" s="15" t="n">
        <f aca="false">IF($B6=1,N5+K6,"")</f>
        <v>286.409496919432</v>
      </c>
      <c r="O6" s="56" t="n">
        <f aca="false">IF($B6=1,G6-I6,"")</f>
        <v>-17.9232712459537</v>
      </c>
      <c r="P6" s="19" t="n">
        <f aca="false">IF($B6=1,IF(Nur_Zinsen=1,Eigenkapital,IF($A6&gt;=Laufzeit_EK,0,IF(Zins_EK=0,Eigenkapital*(1-$A6/Laufzeit_EK),MAX(0,Eigenkapital*(1+Zins_EK)^$A6-KD_EK_Jahr*((1+Zins_EK)^$A6-1)/Zins_EK)))),"")</f>
        <v>2663.92149592393</v>
      </c>
      <c r="Q6" s="19" t="n">
        <f aca="false">IF($B6=1,IF(Nur_Zinsen=1,Fremdkapital,IF($A6&gt;=Laufzeit_FK,0,IF(Zins_FK=0,Fremdkapital*(1-$A6/Laufzeit_FK),MAX(0,Fremdkapital*(1+Zins_FK)^$A6-KD_FK_Jahr*((1+Zins_FK)^$A6-1)/Zins_FK)))),"")</f>
        <v>10694.2430763458</v>
      </c>
      <c r="R6" s="58" t="n">
        <f aca="false">IF($B6=1,1/(1+Diskontsatz)^$A6,"")</f>
        <v>0.924556213017751</v>
      </c>
      <c r="S6" s="56" t="n">
        <f aca="false">IF($B6=1,K6*R6,"")</f>
        <v>132.774419803731</v>
      </c>
      <c r="T6" s="18" t="n">
        <f aca="false">IF($B6=1,IF(K6&gt;0,$A6,""),"")</f>
        <v>2</v>
      </c>
    </row>
    <row r="7" customFormat="false" ht="15" hidden="false" customHeight="false" outlineLevel="0" collapsed="false">
      <c r="A7" s="18" t="n">
        <f aca="false">A6+1</f>
        <v>3</v>
      </c>
      <c r="B7" s="18"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6" t="n">
        <f aca="false">IF($B7=1,J7-G7,"")</f>
        <v>144.556079019716</v>
      </c>
      <c r="L7" s="57" t="n">
        <f aca="false">IF($B7=1,K7*1000000/Flaeche/12,"")</f>
        <v>0.822837426114048</v>
      </c>
      <c r="M7" s="15" t="n">
        <f aca="false">IF($B7=1,K7*1000000/Wohnungen/12,"")</f>
        <v>50.1930829929569</v>
      </c>
      <c r="N7" s="15" t="n">
        <f aca="false">IF($B7=1,N6+K7,"")</f>
        <v>430.965575939148</v>
      </c>
      <c r="O7" s="56" t="n">
        <f aca="false">IF($B7=1,G7-I7,"")</f>
        <v>-18.8705378059537</v>
      </c>
      <c r="P7" s="19" t="n">
        <f aca="false">IF($B7=1,IF(Nur_Zinsen=1,Eigenkapital,IF($A7&gt;=Laufzeit_EK,0,IF(Zins_EK=0,Eigenkapital*(1-$A7/Laufzeit_EK),MAX(0,Eigenkapital*(1+Zins_EK)^$A7-KD_EK_Jahr*((1+Zins_EK)^$A7-1)/Zins_EK)))),"")</f>
        <v>2644.79281454712</v>
      </c>
      <c r="Q7" s="19" t="n">
        <f aca="false">IF($B7=1,IF(Nur_Zinsen=1,Fremdkapital,IF($A7&gt;=Laufzeit_FK,0,IF(Zins_FK=0,Fremdkapital*(1-$A7/Laufzeit_FK),MAX(0,Fremdkapital*(1+Zins_FK)^$A7-KD_FK_Jahr*((1+Zins_FK)^$A7-1)/Zins_FK)))),"")</f>
        <v>10637.3664869171</v>
      </c>
      <c r="R7" s="58" t="n">
        <f aca="false">IF($B7=1,1/(1+Diskontsatz)^$A7,"")</f>
        <v>0.888996358670915</v>
      </c>
      <c r="S7" s="56" t="n">
        <f aca="false">IF($B7=1,K7*R7,"")</f>
        <v>128.509827872272</v>
      </c>
      <c r="T7" s="18" t="n">
        <f aca="false">IF($B7=1,IF(K7&gt;0,$A7,""),"")</f>
        <v>3</v>
      </c>
    </row>
    <row r="8" customFormat="false" ht="15" hidden="false" customHeight="false" outlineLevel="0" collapsed="false">
      <c r="A8" s="18" t="n">
        <f aca="false">A7+1</f>
        <v>4</v>
      </c>
      <c r="B8" s="18"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6" t="n">
        <f aca="false">IF($B8=1,J8-G8,"")</f>
        <v>145.646496670916</v>
      </c>
      <c r="L8" s="57" t="n">
        <f aca="false">IF($B8=1,K8*1000000/Flaeche/12,"")</f>
        <v>0.829044266114046</v>
      </c>
      <c r="M8" s="15" t="n">
        <f aca="false">IF($B8=1,K8*1000000/Wohnungen/12,"")</f>
        <v>50.5717002329568</v>
      </c>
      <c r="N8" s="15" t="n">
        <f aca="false">IF($B8=1,N7+K8,"")</f>
        <v>576.612072610063</v>
      </c>
      <c r="O8" s="56" t="n">
        <f aca="false">IF($B8=1,G8-I8,"")</f>
        <v>-19.9609554571535</v>
      </c>
      <c r="P8" s="19" t="n">
        <f aca="false">IF($B8=1,IF(Nur_Zinsen=1,Eigenkapital,IF($A8&gt;=Laufzeit_EK,0,IF(Zins_EK=0,Eigenkapital*(1-$A8/Laufzeit_EK),MAX(0,Eigenkapital*(1+Zins_EK)^$A8-KD_EK_Jahr*((1+Zins_EK)^$A8-1)/Zins_EK)))),"")</f>
        <v>2624.89898591524</v>
      </c>
      <c r="Q8" s="19" t="n">
        <f aca="false">IF($B8=1,IF(Nur_Zinsen=1,Fremdkapital,IF($A8&gt;=Laufzeit_FK,0,IF(Zins_FK=0,Fremdkapital*(1-$A8/Laufzeit_FK),MAX(0,Fremdkapital*(1+Zins_FK)^$A8-KD_FK_Jahr*((1+Zins_FK)^$A8-1)/Zins_FK)))),"")</f>
        <v>10577.646068017</v>
      </c>
      <c r="R8" s="58" t="n">
        <f aca="false">IF($B8=1,1/(1+Diskontsatz)^$A8,"")</f>
        <v>0.854804191029726</v>
      </c>
      <c r="S8" s="56" t="n">
        <f aca="false">IF($B8=1,K8*R8,"")</f>
        <v>124.499235763096</v>
      </c>
      <c r="T8" s="18" t="n">
        <f aca="false">IF($B8=1,IF(K8&gt;0,$A8,""),"")</f>
        <v>4</v>
      </c>
    </row>
    <row r="9" customFormat="false" ht="15" hidden="false" customHeight="false" outlineLevel="0" collapsed="false">
      <c r="A9" s="18" t="n">
        <f aca="false">A8+1</f>
        <v>5</v>
      </c>
      <c r="B9" s="18"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6" t="n">
        <f aca="false">IF($B9=1,J9-G9,"")</f>
        <v>146.88417049274</v>
      </c>
      <c r="L9" s="57" t="n">
        <f aca="false">IF($B9=1,K9*1000000/Flaeche/12,"")</f>
        <v>0.836089312914049</v>
      </c>
      <c r="M9" s="15" t="n">
        <f aca="false">IF($B9=1,K9*1000000/Wohnungen/12,"")</f>
        <v>51.001448087757</v>
      </c>
      <c r="N9" s="15" t="n">
        <f aca="false">IF($B9=1,N8+K9,"")</f>
        <v>723.496243102803</v>
      </c>
      <c r="O9" s="56" t="n">
        <f aca="false">IF($B9=1,G9-I9,"")</f>
        <v>-21.1986292789779</v>
      </c>
      <c r="P9" s="19" t="n">
        <f aca="false">IF($B9=1,IF(Nur_Zinsen=1,Eigenkapital,IF($A9&gt;=Laufzeit_EK,0,IF(Zins_EK=0,Eigenkapital*(1-$A9/Laufzeit_EK),MAX(0,Eigenkapital*(1+Zins_EK)^$A9-KD_EK_Jahr*((1+Zins_EK)^$A9-1)/Zins_EK)))),"")</f>
        <v>2604.20940413809</v>
      </c>
      <c r="Q9" s="19" t="n">
        <f aca="false">IF($B9=1,IF(Nur_Zinsen=1,Fremdkapital,IF($A9&gt;=Laufzeit_FK,0,IF(Zins_FK=0,Fremdkapital*(1-$A9/Laufzeit_FK),MAX(0,Fremdkapital*(1+Zins_FK)^$A9-KD_FK_Jahr*((1+Zins_FK)^$A9-1)/Zins_FK)))),"")</f>
        <v>10514.9396281719</v>
      </c>
      <c r="R9" s="58" t="n">
        <f aca="false">IF($B9=1,1/(1+Diskontsatz)^$A9,"")</f>
        <v>0.821927106759352</v>
      </c>
      <c r="S9" s="56" t="n">
        <f aca="false">IF($B9=1,K9*R9,"")</f>
        <v>120.728081281845</v>
      </c>
      <c r="T9" s="18" t="n">
        <f aca="false">IF($B9=1,IF(K9&gt;0,$A9,""),"")</f>
        <v>5</v>
      </c>
    </row>
    <row r="10" customFormat="false" ht="15" hidden="false" customHeight="false" outlineLevel="0" collapsed="false">
      <c r="A10" s="18" t="n">
        <f aca="false">A9+1</f>
        <v>6</v>
      </c>
      <c r="B10" s="18"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6" t="n">
        <f aca="false">IF($B10=1,J10-G10,"")</f>
        <v>148.273300086776</v>
      </c>
      <c r="L10" s="57" t="n">
        <f aca="false">IF($B10=1,K10*1000000/Flaeche/12,"")</f>
        <v>0.843996471350047</v>
      </c>
      <c r="M10" s="15" t="n">
        <f aca="false">IF($B10=1,K10*1000000/Wohnungen/12,"")</f>
        <v>51.4837847523529</v>
      </c>
      <c r="N10" s="15" t="n">
        <f aca="false">IF($B10=1,N9+K10,"")</f>
        <v>871.76954318958</v>
      </c>
      <c r="O10" s="56" t="n">
        <f aca="false">IF($B10=1,G10-I10,"")</f>
        <v>-22.5877588730141</v>
      </c>
      <c r="P10" s="19" t="n">
        <f aca="false">IF($B10=1,IF(Nur_Zinsen=1,Eigenkapital,IF($A10&gt;=Laufzeit_EK,0,IF(Zins_EK=0,Eigenkapital*(1-$A10/Laufzeit_EK),MAX(0,Eigenkapital*(1+Zins_EK)^$A10-KD_EK_Jahr*((1+Zins_EK)^$A10-1)/Zins_EK)))),"")</f>
        <v>2582.69223908985</v>
      </c>
      <c r="Q10" s="19" t="n">
        <f aca="false">IF($B10=1,IF(Nur_Zinsen=1,Fremdkapital,IF($A10&gt;=Laufzeit_FK,0,IF(Zins_FK=0,Fremdkapital*(1-$A10/Laufzeit_FK),MAX(0,Fremdkapital*(1+Zins_FK)^$A10-KD_FK_Jahr*((1+Zins_FK)^$A10-1)/Zins_FK)))),"")</f>
        <v>10449.0978663346</v>
      </c>
      <c r="R10" s="58" t="n">
        <f aca="false">IF($B10=1,1/(1+Diskontsatz)^$A10,"")</f>
        <v>0.790314525730146</v>
      </c>
      <c r="S10" s="56" t="n">
        <f aca="false">IF($B10=1,K10*R10,"")</f>
        <v>117.182542836524</v>
      </c>
      <c r="T10" s="18" t="n">
        <f aca="false">IF($B10=1,IF(K10&gt;0,$A10,""),"")</f>
        <v>6</v>
      </c>
    </row>
    <row r="11" customFormat="false" ht="15" hidden="false" customHeight="false" outlineLevel="0" collapsed="false">
      <c r="A11" s="18" t="n">
        <f aca="false">A10+1</f>
        <v>7</v>
      </c>
      <c r="B11" s="18"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6" t="n">
        <f aca="false">IF($B11=1,J11-G11,"")</f>
        <v>149.818181591427</v>
      </c>
      <c r="L11" s="57" t="n">
        <f aca="false">IF($B11=1,K11*1000000/Flaeche/12,"")</f>
        <v>0.852790195761768</v>
      </c>
      <c r="M11" s="15" t="n">
        <f aca="false">IF($B11=1,K11*1000000/Wohnungen/12,"")</f>
        <v>52.0202019414679</v>
      </c>
      <c r="N11" s="15" t="n">
        <f aca="false">IF($B11=1,N10+K11,"")</f>
        <v>1021.58772478101</v>
      </c>
      <c r="O11" s="56" t="n">
        <f aca="false">IF($B11=1,G11-I11,"")</f>
        <v>-24.1326403776653</v>
      </c>
      <c r="P11" s="19" t="n">
        <f aca="false">IF($B11=1,IF(Nur_Zinsen=1,Eigenkapital,IF($A11&gt;=Laufzeit_EK,0,IF(Zins_EK=0,Eigenkapital*(1-$A11/Laufzeit_EK),MAX(0,Eigenkapital*(1+Zins_EK)^$A11-KD_EK_Jahr*((1+Zins_EK)^$A11-1)/Zins_EK)))),"")</f>
        <v>2560.31438743968</v>
      </c>
      <c r="Q11" s="19" t="n">
        <f aca="false">IF($B11=1,IF(Nur_Zinsen=1,Fremdkapital,IF($A11&gt;=Laufzeit_FK,0,IF(Zins_FK=0,Fremdkapital*(1-$A11/Laufzeit_FK),MAX(0,Fremdkapital*(1+Zins_FK)^$A11-KD_FK_Jahr*((1+Zins_FK)^$A11-1)/Zins_FK)))),"")</f>
        <v>10379.9640164053</v>
      </c>
      <c r="R11" s="58" t="n">
        <f aca="false">IF($B11=1,1/(1+Diskontsatz)^$A11,"")</f>
        <v>0.759917813202063</v>
      </c>
      <c r="S11" s="56" t="n">
        <f aca="false">IF($B11=1,K11*R11,"")</f>
        <v>113.849504932867</v>
      </c>
      <c r="T11" s="18" t="n">
        <f aca="false">IF($B11=1,IF(K11&gt;0,$A11,""),"")</f>
        <v>7</v>
      </c>
    </row>
    <row r="12" customFormat="false" ht="15" hidden="false" customHeight="false" outlineLevel="0" collapsed="false">
      <c r="A12" s="18" t="n">
        <f aca="false">A11+1</f>
        <v>8</v>
      </c>
      <c r="B12" s="18"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6" t="n">
        <f aca="false">IF($B12=1,J12-G12,"")</f>
        <v>151.523209738093</v>
      </c>
      <c r="L12" s="57" t="n">
        <f aca="false">IF($B12=1,K12*1000000/Flaeche/12,"")</f>
        <v>0.862495501696793</v>
      </c>
      <c r="M12" s="15" t="n">
        <f aca="false">IF($B12=1,K12*1000000/Wohnungen/12,"")</f>
        <v>52.6122256035044</v>
      </c>
      <c r="N12" s="15" t="n">
        <f aca="false">IF($B12=1,N11+K12,"")</f>
        <v>1173.1109345191</v>
      </c>
      <c r="O12" s="56" t="n">
        <f aca="false">IF($B12=1,G12-I12,"")</f>
        <v>-25.8376685243304</v>
      </c>
      <c r="P12" s="19" t="n">
        <f aca="false">IF($B12=1,IF(Nur_Zinsen=1,Eigenkapital,IF($A12&gt;=Laufzeit_EK,0,IF(Zins_EK=0,Eigenkapital*(1-$A12/Laufzeit_EK),MAX(0,Eigenkapital*(1+Zins_EK)^$A12-KD_EK_Jahr*((1+Zins_EK)^$A12-1)/Zins_EK)))),"")</f>
        <v>2537.04142172351</v>
      </c>
      <c r="Q12" s="19" t="n">
        <f aca="false">IF($B12=1,IF(Nur_Zinsen=1,Fremdkapital,IF($A12&gt;=Laufzeit_FK,0,IF(Zins_FK=0,Fremdkapital*(1-$A12/Laufzeit_FK),MAX(0,Fremdkapital*(1+Zins_FK)^$A12-KD_FK_Jahr*((1+Zins_FK)^$A12-1)/Zins_FK)))),"")</f>
        <v>10307.3734739797</v>
      </c>
      <c r="R12" s="58" t="n">
        <f aca="false">IF($B12=1,1/(1+Diskontsatz)^$A12,"")</f>
        <v>0.730690205001984</v>
      </c>
      <c r="S12" s="56" t="n">
        <f aca="false">IF($B12=1,K12*R12,"")</f>
        <v>110.716525186085</v>
      </c>
      <c r="T12" s="18" t="n">
        <f aca="false">IF($B12=1,IF(K12&gt;0,$A12,""),"")</f>
        <v>8</v>
      </c>
    </row>
    <row r="13" customFormat="false" ht="15" hidden="false" customHeight="false" outlineLevel="0" collapsed="false">
      <c r="A13" s="18" t="n">
        <f aca="false">A12+1</f>
        <v>9</v>
      </c>
      <c r="B13" s="18"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6" t="n">
        <f aca="false">IF($B13=1,J13-G13,"")</f>
        <v>153.392879949731</v>
      </c>
      <c r="L13" s="57" t="n">
        <f aca="false">IF($B13=1,K13*1000000/Flaeche/12,"")</f>
        <v>0.873137977855937</v>
      </c>
      <c r="M13" s="15" t="n">
        <f aca="false">IF($B13=1,K13*1000000/Wohnungen/12,"")</f>
        <v>53.2614166492122</v>
      </c>
      <c r="N13" s="15" t="n">
        <f aca="false">IF($B13=1,N12+K13,"")</f>
        <v>1326.50381446883</v>
      </c>
      <c r="O13" s="56" t="n">
        <f aca="false">IF($B13=1,G13-I13,"")</f>
        <v>-27.707338735969</v>
      </c>
      <c r="P13" s="19" t="n">
        <f aca="false">IF($B13=1,IF(Nur_Zinsen=1,Eigenkapital,IF($A13&gt;=Laufzeit_EK,0,IF(Zins_EK=0,Eigenkapital*(1-$A13/Laufzeit_EK),MAX(0,Eigenkapital*(1+Zins_EK)^$A13-KD_EK_Jahr*((1+Zins_EK)^$A13-1)/Zins_EK)))),"")</f>
        <v>2512.83753737869</v>
      </c>
      <c r="Q13" s="19" t="n">
        <f aca="false">IF($B13=1,IF(Nur_Zinsen=1,Fremdkapital,IF($A13&gt;=Laufzeit_FK,0,IF(Zins_FK=0,Fremdkapital*(1-$A13/Laufzeit_FK),MAX(0,Fremdkapital*(1+Zins_FK)^$A13-KD_FK_Jahr*((1+Zins_FK)^$A13-1)/Zins_FK)))),"")</f>
        <v>10231.1534044327</v>
      </c>
      <c r="R13" s="58" t="n">
        <f aca="false">IF($B13=1,1/(1+Diskontsatz)^$A13,"")</f>
        <v>0.702586735578831</v>
      </c>
      <c r="S13" s="56" t="n">
        <f aca="false">IF($B13=1,K13*R13,"")</f>
        <v>107.771802784917</v>
      </c>
      <c r="T13" s="18" t="n">
        <f aca="false">IF($B13=1,IF(K13&gt;0,$A13,""),"")</f>
        <v>9</v>
      </c>
    </row>
    <row r="14" customFormat="false" ht="15" hidden="false" customHeight="false" outlineLevel="0" collapsed="false">
      <c r="A14" s="18" t="n">
        <f aca="false">A13+1</f>
        <v>10</v>
      </c>
      <c r="B14" s="18"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6" t="n">
        <f aca="false">IF($B14=1,J14-G14,"")</f>
        <v>155.431790482664</v>
      </c>
      <c r="L14" s="57" t="n">
        <f aca="false">IF($B14=1,K14*1000000/Flaeche/12,"")</f>
        <v>0.884743798284743</v>
      </c>
      <c r="M14" s="15" t="n">
        <f aca="false">IF($B14=1,K14*1000000/Wohnungen/12,"")</f>
        <v>53.9693716953693</v>
      </c>
      <c r="N14" s="15" t="n">
        <f aca="false">IF($B14=1,N13+K14,"")</f>
        <v>1481.93560495149</v>
      </c>
      <c r="O14" s="56" t="n">
        <f aca="false">IF($B14=1,G14-I14,"")</f>
        <v>-29.7462492689016</v>
      </c>
      <c r="P14" s="19" t="n">
        <f aca="false">IF($B14=1,IF(Nur_Zinsen=1,Eigenkapital,IF($A14&gt;=Laufzeit_EK,0,IF(Zins_EK=0,Eigenkapital*(1-$A14/Laufzeit_EK),MAX(0,Eigenkapital*(1+Zins_EK)^$A14-KD_EK_Jahr*((1+Zins_EK)^$A14-1)/Zins_EK)))),"")</f>
        <v>2487.66549766007</v>
      </c>
      <c r="Q14" s="19" t="n">
        <f aca="false">IF($B14=1,IF(Nur_Zinsen=1,Fremdkapital,IF($A14&gt;=Laufzeit_FK,0,IF(Zins_FK=0,Fremdkapital*(1-$A14/Laufzeit_FK),MAX(0,Fremdkapital*(1+Zins_FK)^$A14-KD_FK_Jahr*((1+Zins_FK)^$A14-1)/Zins_FK)))),"")</f>
        <v>10151.1223314084</v>
      </c>
      <c r="R14" s="58" t="n">
        <f aca="false">IF($B14=1,1/(1+Diskontsatz)^$A14,"")</f>
        <v>0.675564168825799</v>
      </c>
      <c r="S14" s="56" t="n">
        <f aca="false">IF($B14=1,K14*R14,"")</f>
        <v>105.004148346526</v>
      </c>
      <c r="T14" s="18" t="n">
        <f aca="false">IF($B14=1,IF(K14&gt;0,$A14,""),"")</f>
        <v>10</v>
      </c>
    </row>
    <row r="15" customFormat="false" ht="15" hidden="false" customHeight="false" outlineLevel="0" collapsed="false">
      <c r="A15" s="18" t="n">
        <f aca="false">A14+1</f>
        <v>11</v>
      </c>
      <c r="B15" s="18"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6" t="n">
        <f aca="false">IF($B15=1,J15-G15,"")</f>
        <v>157.644644612486</v>
      </c>
      <c r="L15" s="57" t="n">
        <f aca="false">IF($B15=1,K15*1000000/Flaeche/12,"")</f>
        <v>0.897339734816061</v>
      </c>
      <c r="M15" s="15" t="n">
        <f aca="false">IF($B15=1,K15*1000000/Wohnungen/12,"")</f>
        <v>54.7377238237797</v>
      </c>
      <c r="N15" s="15" t="n">
        <f aca="false">IF($B15=1,N14+K15,"")</f>
        <v>1639.58024956398</v>
      </c>
      <c r="O15" s="56" t="n">
        <f aca="false">IF($B15=1,G15-I15,"")</f>
        <v>-31.9591033987235</v>
      </c>
      <c r="P15" s="19" t="n">
        <f aca="false">IF($B15=1,IF(Nur_Zinsen=1,Eigenkapital,IF($A15&gt;=Laufzeit_EK,0,IF(Zins_EK=0,Eigenkapital*(1-$A15/Laufzeit_EK),MAX(0,Eigenkapital*(1+Zins_EK)^$A15-KD_EK_Jahr*((1+Zins_EK)^$A15-1)/Zins_EK)))),"")</f>
        <v>2461.48657635271</v>
      </c>
      <c r="Q15" s="19" t="n">
        <f aca="false">IF($B15=1,IF(Nur_Zinsen=1,Fremdkapital,IF($A15&gt;=Laufzeit_FK,0,IF(Zins_FK=0,Fremdkapital*(1-$A15/Laufzeit_FK),MAX(0,Fremdkapital*(1+Zins_FK)^$A15-KD_FK_Jahr*((1+Zins_FK)^$A15-1)/Zins_FK)))),"")</f>
        <v>10067.0897047328</v>
      </c>
      <c r="R15" s="58" t="n">
        <f aca="false">IF($B15=1,1/(1+Diskontsatz)^$A15,"")</f>
        <v>0.649580931563268</v>
      </c>
      <c r="S15" s="56" t="n">
        <f aca="false">IF($B15=1,K15*R15,"")</f>
        <v>102.402955103339</v>
      </c>
      <c r="T15" s="18" t="n">
        <f aca="false">IF($B15=1,IF(K15&gt;0,$A15,""),"")</f>
        <v>11</v>
      </c>
    </row>
    <row r="16" customFormat="false" ht="15" hidden="false" customHeight="false" outlineLevel="0" collapsed="false">
      <c r="A16" s="18" t="n">
        <f aca="false">A15+1</f>
        <v>12</v>
      </c>
      <c r="B16" s="18"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6" t="n">
        <f aca="false">IF($B16=1,J16-G16,"")</f>
        <v>160.036252864998</v>
      </c>
      <c r="L16" s="57" t="n">
        <f aca="false">IF($B16=1,K16*1000000/Flaeche/12,"")</f>
        <v>0.910953169768886</v>
      </c>
      <c r="M16" s="15" t="n">
        <f aca="false">IF($B16=1,K16*1000000/Wohnungen/12,"")</f>
        <v>55.568143355902</v>
      </c>
      <c r="N16" s="15" t="n">
        <f aca="false">IF($B16=1,N15+K16,"")</f>
        <v>1799.61650242898</v>
      </c>
      <c r="O16" s="56" t="n">
        <f aca="false">IF($B16=1,G16-I16,"")</f>
        <v>-34.3507116512358</v>
      </c>
      <c r="P16" s="19" t="n">
        <f aca="false">IF($B16=1,IF(Nur_Zinsen=1,Eigenkapital,IF($A16&gt;=Laufzeit_EK,0,IF(Zins_EK=0,Eigenkapital*(1-$A16/Laufzeit_EK),MAX(0,Eigenkapital*(1+Zins_EK)^$A16-KD_EK_Jahr*((1+Zins_EK)^$A16-1)/Zins_EK)))),"")</f>
        <v>2434.26049819306</v>
      </c>
      <c r="Q16" s="19" t="n">
        <f aca="false">IF($B16=1,IF(Nur_Zinsen=1,Fremdkapital,IF($A16&gt;=Laufzeit_FK,0,IF(Zins_FK=0,Fremdkapital*(1-$A16/Laufzeit_FK),MAX(0,Fremdkapital*(1+Zins_FK)^$A16-KD_FK_Jahr*((1+Zins_FK)^$A16-1)/Zins_FK)))),"")</f>
        <v>9978.85544672352</v>
      </c>
      <c r="R16" s="58" t="n">
        <f aca="false">IF($B16=1,1/(1+Diskontsatz)^$A16,"")</f>
        <v>0.624597049580065</v>
      </c>
      <c r="S16" s="56" t="n">
        <f aca="false">IF($B16=1,K16*R16,"")</f>
        <v>99.958171365327</v>
      </c>
      <c r="T16" s="18" t="n">
        <f aca="false">IF($B16=1,IF(K16&gt;0,$A16,""),"")</f>
        <v>12</v>
      </c>
    </row>
    <row r="17" customFormat="false" ht="15" hidden="false" customHeight="false" outlineLevel="0" collapsed="false">
      <c r="A17" s="18" t="n">
        <f aca="false">A16+1</f>
        <v>13</v>
      </c>
      <c r="B17" s="18"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6" t="n">
        <f aca="false">IF($B17=1,J17-G17,"")</f>
        <v>162.611535293055</v>
      </c>
      <c r="L17" s="57" t="n">
        <f aca="false">IF($B17=1,K17*1000000/Flaeche/12,"")</f>
        <v>0.925612108908555</v>
      </c>
      <c r="M17" s="15" t="n">
        <f aca="false">IF($B17=1,K17*1000000/Wohnungen/12,"")</f>
        <v>56.4623386434219</v>
      </c>
      <c r="N17" s="15" t="n">
        <f aca="false">IF($B17=1,N16+K17,"")</f>
        <v>1962.22803772203</v>
      </c>
      <c r="O17" s="56" t="n">
        <f aca="false">IF($B17=1,G17-I17,"")</f>
        <v>-36.9259940792929</v>
      </c>
      <c r="P17" s="19" t="n">
        <f aca="false">IF($B17=1,IF(Nur_Zinsen=1,Eigenkapital,IF($A17&gt;=Laufzeit_EK,0,IF(Zins_EK=0,Eigenkapital*(1-$A17/Laufzeit_EK),MAX(0,Eigenkapital*(1+Zins_EK)^$A17-KD_EK_Jahr*((1+Zins_EK)^$A17-1)/Zins_EK)))),"")</f>
        <v>2405.94537690702</v>
      </c>
      <c r="Q17" s="19" t="n">
        <f aca="false">IF($B17=1,IF(Nur_Zinsen=1,Fremdkapital,IF($A17&gt;=Laufzeit_FK,0,IF(Zins_FK=0,Fremdkapital*(1-$A17/Laufzeit_FK),MAX(0,Fremdkapital*(1+Zins_FK)^$A17-KD_FK_Jahr*((1+Zins_FK)^$A17-1)/Zins_FK)))),"")</f>
        <v>9886.20947581375</v>
      </c>
      <c r="R17" s="58" t="n">
        <f aca="false">IF($B17=1,1/(1+Diskontsatz)^$A17,"")</f>
        <v>0.600574086134678</v>
      </c>
      <c r="S17" s="56" t="n">
        <f aca="false">IF($B17=1,K17*R17,"")</f>
        <v>97.6602742035835</v>
      </c>
      <c r="T17" s="18" t="n">
        <f aca="false">IF($B17=1,IF(K17&gt;0,$A17,""),"")</f>
        <v>13</v>
      </c>
    </row>
    <row r="18" customFormat="false" ht="15" hidden="false" customHeight="false" outlineLevel="0" collapsed="false">
      <c r="A18" s="18" t="n">
        <f aca="false">A17+1</f>
        <v>14</v>
      </c>
      <c r="B18" s="18"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6" t="n">
        <f aca="false">IF($B18=1,J18-G18,"")</f>
        <v>165.375523800273</v>
      </c>
      <c r="L18" s="57" t="n">
        <f aca="false">IF($B18=1,K18*1000000/Flaeche/12,"")</f>
        <v>0.941345194673684</v>
      </c>
      <c r="M18" s="15" t="n">
        <f aca="false">IF($B18=1,K18*1000000/Wohnungen/12,"")</f>
        <v>57.4220568750947</v>
      </c>
      <c r="N18" s="15" t="n">
        <f aca="false">IF($B18=1,N17+K18,"")</f>
        <v>2127.60356152231</v>
      </c>
      <c r="O18" s="56" t="n">
        <f aca="false">IF($B18=1,G18-I18,"")</f>
        <v>-39.6899825865106</v>
      </c>
      <c r="P18" s="19" t="n">
        <f aca="false">IF($B18=1,IF(Nur_Zinsen=1,Eigenkapital,IF($A18&gt;=Laufzeit_EK,0,IF(Zins_EK=0,Eigenkapital*(1-$A18/Laufzeit_EK),MAX(0,Eigenkapital*(1+Zins_EK)^$A18-KD_EK_Jahr*((1+Zins_EK)^$A18-1)/Zins_EK)))),"")</f>
        <v>2376.49765076954</v>
      </c>
      <c r="Q18" s="19" t="n">
        <f aca="false">IF($B18=1,IF(Nur_Zinsen=1,Fremdkapital,IF($A18&gt;=Laufzeit_FK,0,IF(Zins_FK=0,Fremdkapital*(1-$A18/Laufzeit_FK),MAX(0,Fremdkapital*(1+Zins_FK)^$A18-KD_FK_Jahr*((1+Zins_FK)^$A18-1)/Zins_FK)))),"")</f>
        <v>9788.93120635848</v>
      </c>
      <c r="R18" s="58" t="n">
        <f aca="false">IF($B18=1,1/(1+Diskontsatz)^$A18,"")</f>
        <v>0.577475082821806</v>
      </c>
      <c r="S18" s="56" t="n">
        <f aca="false">IF($B18=1,K18*R18,"")</f>
        <v>95.500244303262</v>
      </c>
      <c r="T18" s="18" t="n">
        <f aca="false">IF($B18=1,IF(K18&gt;0,$A18,""),"")</f>
        <v>14</v>
      </c>
    </row>
    <row r="19" customFormat="false" ht="15" hidden="false" customHeight="false" outlineLevel="0" collapsed="false">
      <c r="A19" s="18" t="n">
        <f aca="false">A18+1</f>
        <v>15</v>
      </c>
      <c r="B19" s="18"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6" t="n">
        <f aca="false">IF($B19=1,J19-G19,"")</f>
        <v>168.33336451254</v>
      </c>
      <c r="L19" s="57" t="n">
        <f aca="false">IF($B19=1,K19*1000000/Flaeche/12,"")</f>
        <v>0.958181719675206</v>
      </c>
      <c r="M19" s="15" t="n">
        <f aca="false">IF($B19=1,K19*1000000/Wohnungen/12,"")</f>
        <v>58.4490849001876</v>
      </c>
      <c r="N19" s="15" t="n">
        <f aca="false">IF($B19=1,N18+K19,"")</f>
        <v>2295.93692603485</v>
      </c>
      <c r="O19" s="56" t="n">
        <f aca="false">IF($B19=1,G19-I19,"")</f>
        <v>-42.647823298778</v>
      </c>
      <c r="P19" s="19" t="n">
        <f aca="false">IF($B19=1,IF(Nur_Zinsen=1,Eigenkapital,IF($A19&gt;=Laufzeit_EK,0,IF(Zins_EK=0,Eigenkapital*(1-$A19/Laufzeit_EK),MAX(0,Eigenkapital*(1+Zins_EK)^$A19-KD_EK_Jahr*((1+Zins_EK)^$A19-1)/Zins_EK)))),"")</f>
        <v>2345.87201558656</v>
      </c>
      <c r="Q19" s="19" t="n">
        <f aca="false">IF($B19=1,IF(Nur_Zinsen=1,Fremdkapital,IF($A19&gt;=Laufzeit_FK,0,IF(Zins_FK=0,Fremdkapital*(1-$A19/Laufzeit_FK),MAX(0,Fremdkapital*(1+Zins_FK)^$A19-KD_FK_Jahr*((1+Zins_FK)^$A19-1)/Zins_FK)))),"")</f>
        <v>9686.78902343045</v>
      </c>
      <c r="R19" s="58" t="n">
        <f aca="false">IF($B19=1,1/(1+Diskontsatz)^$A19,"")</f>
        <v>0.555264502713275</v>
      </c>
      <c r="S19" s="56" t="n">
        <f aca="false">IF($B19=1,K19*R19,"")</f>
        <v>93.469541936108</v>
      </c>
      <c r="T19" s="18" t="n">
        <f aca="false">IF($B19=1,IF(K19&gt;0,$A19,""),"")</f>
        <v>15</v>
      </c>
    </row>
    <row r="20" customFormat="false" ht="15" hidden="false" customHeight="false" outlineLevel="0" collapsed="false">
      <c r="A20" s="18" t="n">
        <f aca="false">A19+1</f>
        <v>16</v>
      </c>
      <c r="B20" s="18"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6" t="n">
        <f aca="false">IF($B20=1,J20-G20,"")</f>
        <v>171.490320198308</v>
      </c>
      <c r="L20" s="57" t="n">
        <f aca="false">IF($B20=1,K20*1000000/Flaeche/12,"")</f>
        <v>0.976151640473063</v>
      </c>
      <c r="M20" s="15" t="n">
        <f aca="false">IF($B20=1,K20*1000000/Wohnungen/12,"")</f>
        <v>59.5452500688568</v>
      </c>
      <c r="N20" s="15" t="n">
        <f aca="false">IF($B20=1,N19+K20,"")</f>
        <v>2467.42724623315</v>
      </c>
      <c r="O20" s="56" t="n">
        <f aca="false">IF($B20=1,G20-I20,"")</f>
        <v>-45.8047789845456</v>
      </c>
      <c r="P20" s="19" t="n">
        <f aca="false">IF($B20=1,IF(Nur_Zinsen=1,Eigenkapital,IF($A20&gt;=Laufzeit_EK,0,IF(Zins_EK=0,Eigenkapital*(1-$A20/Laufzeit_EK),MAX(0,Eigenkapital*(1+Zins_EK)^$A20-KD_EK_Jahr*((1+Zins_EK)^$A20-1)/Zins_EK)))),"")</f>
        <v>2314.02135499626</v>
      </c>
      <c r="Q20" s="19" t="n">
        <f aca="false">IF($B20=1,IF(Nur_Zinsen=1,Fremdkapital,IF($A20&gt;=Laufzeit_FK,0,IF(Zins_FK=0,Fremdkapital*(1-$A20/Laufzeit_FK),MAX(0,Fremdkapital*(1+Zins_FK)^$A20-KD_FK_Jahr*((1+Zins_FK)^$A20-1)/Zins_FK)))),"")</f>
        <v>9579.53973135602</v>
      </c>
      <c r="R20" s="58" t="n">
        <f aca="false">IF($B20=1,1/(1+Diskontsatz)^$A20,"")</f>
        <v>0.533908175685841</v>
      </c>
      <c r="S20" s="56" t="n">
        <f aca="false">IF($B20=1,K20*R20,"")</f>
        <v>91.5600840048592</v>
      </c>
      <c r="T20" s="18" t="n">
        <f aca="false">IF($B20=1,IF(K20&gt;0,$A20,""),"")</f>
        <v>16</v>
      </c>
    </row>
    <row r="21" customFormat="false" ht="15" hidden="false" customHeight="false" outlineLevel="0" collapsed="false">
      <c r="A21" s="18" t="n">
        <f aca="false">A20+1</f>
        <v>17</v>
      </c>
      <c r="B21" s="18"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6" t="n">
        <f aca="false">IF($B21=1,J21-G21,"")</f>
        <v>174.851772738637</v>
      </c>
      <c r="L21" s="57" t="n">
        <f aca="false">IF($B21=1,K21*1000000/Flaeche/12,"")</f>
        <v>0.995285591636141</v>
      </c>
      <c r="M21" s="15" t="n">
        <f aca="false">IF($B21=1,K21*1000000/Wohnungen/12,"")</f>
        <v>60.7124210898046</v>
      </c>
      <c r="N21" s="15" t="n">
        <f aca="false">IF($B21=1,N20+K21,"")</f>
        <v>2642.27901897179</v>
      </c>
      <c r="O21" s="56" t="n">
        <f aca="false">IF($B21=1,G21-I21,"")</f>
        <v>-49.1662315248751</v>
      </c>
      <c r="P21" s="19" t="n">
        <f aca="false">IF($B21=1,IF(Nur_Zinsen=1,Eigenkapital,IF($A21&gt;=Laufzeit_EK,0,IF(Zins_EK=0,Eigenkapital*(1-$A21/Laufzeit_EK),MAX(0,Eigenkapital*(1+Zins_EK)^$A21-KD_EK_Jahr*((1+Zins_EK)^$A21-1)/Zins_EK)))),"")</f>
        <v>2280.89666798235</v>
      </c>
      <c r="Q21" s="19" t="n">
        <f aca="false">IF($B21=1,IF(Nur_Zinsen=1,Fremdkapital,IF($A21&gt;=Laufzeit_FK,0,IF(Zins_FK=0,Fremdkapital*(1-$A21/Laufzeit_FK),MAX(0,Fremdkapital*(1+Zins_FK)^$A21-KD_FK_Jahr*((1+Zins_FK)^$A21-1)/Zins_FK)))),"")</f>
        <v>9466.92797467786</v>
      </c>
      <c r="R21" s="58" t="n">
        <f aca="false">IF($B21=1,1/(1+Diskontsatz)^$A21,"")</f>
        <v>0.51337324585177</v>
      </c>
      <c r="S21" s="56" t="n">
        <f aca="false">IF($B21=1,K21*R21,"")</f>
        <v>89.7642221137703</v>
      </c>
      <c r="T21" s="18" t="n">
        <f aca="false">IF($B21=1,IF(K21&gt;0,$A21,""),"")</f>
        <v>17</v>
      </c>
    </row>
    <row r="22" customFormat="false" ht="15" hidden="false" customHeight="false" outlineLevel="0" collapsed="false">
      <c r="A22" s="18" t="n">
        <f aca="false">A21+1</f>
        <v>18</v>
      </c>
      <c r="B22" s="18"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6" t="n">
        <f aca="false">IF($B22=1,J22-G22,"")</f>
        <v>178.42322564803</v>
      </c>
      <c r="L22" s="57" t="n">
        <f aca="false">IF($B22=1,K22*1000000/Flaeche/12,"")</f>
        <v>1.01561490009125</v>
      </c>
      <c r="M22" s="15" t="n">
        <f aca="false">IF($B22=1,K22*1000000/Wohnungen/12,"")</f>
        <v>61.952508905566</v>
      </c>
      <c r="N22" s="15" t="n">
        <f aca="false">IF($B22=1,N21+K22,"")</f>
        <v>2820.70224461982</v>
      </c>
      <c r="O22" s="56" t="n">
        <f aca="false">IF($B22=1,G22-I22,"")</f>
        <v>-52.7376844342679</v>
      </c>
      <c r="P22" s="19" t="n">
        <f aca="false">IF($B22=1,IF(Nur_Zinsen=1,Eigenkapital,IF($A22&gt;=Laufzeit_EK,0,IF(Zins_EK=0,Eigenkapital*(1-$A22/Laufzeit_EK),MAX(0,Eigenkapital*(1+Zins_EK)^$A22-KD_EK_Jahr*((1+Zins_EK)^$A22-1)/Zins_EK)))),"")</f>
        <v>2246.44699348788</v>
      </c>
      <c r="Q22" s="19" t="n">
        <f aca="false">IF($B22=1,IF(Nur_Zinsen=1,Fremdkapital,IF($A22&gt;=Laufzeit_FK,0,IF(Zins_FK=0,Fremdkapital*(1-$A22/Laufzeit_FK),MAX(0,Fremdkapital*(1+Zins_FK)^$A22-KD_FK_Jahr*((1+Zins_FK)^$A22-1)/Zins_FK)))),"")</f>
        <v>9348.6856301658</v>
      </c>
      <c r="R22" s="58" t="n">
        <f aca="false">IF($B22=1,1/(1+Diskontsatz)^$A22,"")</f>
        <v>0.493628121011318</v>
      </c>
      <c r="S22" s="56" t="n">
        <f aca="false">IF($B22=1,K22*R22,"")</f>
        <v>88.0747216214154</v>
      </c>
      <c r="T22" s="18" t="n">
        <f aca="false">IF($B22=1,IF(K22&gt;0,$A22,""),"")</f>
        <v>18</v>
      </c>
    </row>
    <row r="23" customFormat="false" ht="15" hidden="false" customHeight="false" outlineLevel="0" collapsed="false">
      <c r="A23" s="18" t="n">
        <f aca="false">A22+1</f>
        <v>19</v>
      </c>
      <c r="B23" s="18"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6" t="n">
        <f aca="false">IF($B23=1,J23-G23,"")</f>
        <v>182.210306647048</v>
      </c>
      <c r="L23" s="57" t="n">
        <f aca="false">IF($B23=1,K23*1000000/Flaeche/12,"")</f>
        <v>1.03717159976689</v>
      </c>
      <c r="M23" s="15" t="n">
        <f aca="false">IF($B23=1,K23*1000000/Wohnungen/12,"")</f>
        <v>63.2674675857805</v>
      </c>
      <c r="N23" s="15" t="n">
        <f aca="false">IF($B23=1,N22+K23,"")</f>
        <v>3002.91255126687</v>
      </c>
      <c r="O23" s="56" t="n">
        <f aca="false">IF($B23=1,G23-I23,"")</f>
        <v>-56.5247654332857</v>
      </c>
      <c r="P23" s="19" t="n">
        <f aca="false">IF($B23=1,IF(Nur_Zinsen=1,Eigenkapital,IF($A23&gt;=Laufzeit_EK,0,IF(Zins_EK=0,Eigenkapital*(1-$A23/Laufzeit_EK),MAX(0,Eigenkapital*(1+Zins_EK)^$A23-KD_EK_Jahr*((1+Zins_EK)^$A23-1)/Zins_EK)))),"")</f>
        <v>2210.61933201363</v>
      </c>
      <c r="Q23" s="19" t="n">
        <f aca="false">IF($B23=1,IF(Nur_Zinsen=1,Fremdkapital,IF($A23&gt;=Laufzeit_FK,0,IF(Zins_FK=0,Fremdkapital*(1-$A23/Laufzeit_FK),MAX(0,Fremdkapital*(1+Zins_FK)^$A23-KD_FK_Jahr*((1+Zins_FK)^$A23-1)/Zins_FK)))),"")</f>
        <v>9224.53116842814</v>
      </c>
      <c r="R23" s="58" t="n">
        <f aca="false">IF($B23=1,1/(1+Diskontsatz)^$A23,"")</f>
        <v>0.474642424049344</v>
      </c>
      <c r="S23" s="56" t="n">
        <f aca="false">IF($B23=1,K23*R23,"")</f>
        <v>86.484741633729</v>
      </c>
      <c r="T23" s="18" t="n">
        <f aca="false">IF($B23=1,IF(K23&gt;0,$A23,""),"")</f>
        <v>19</v>
      </c>
    </row>
    <row r="24" customFormat="false" ht="15" hidden="false" customHeight="false" outlineLevel="0" collapsed="false">
      <c r="A24" s="18" t="n">
        <f aca="false">A23+1</f>
        <v>20</v>
      </c>
      <c r="B24" s="18"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6" t="n">
        <f aca="false">IF($B24=1,J24-G24,"")</f>
        <v>186.218770287798</v>
      </c>
      <c r="L24" s="57" t="n">
        <f aca="false">IF($B24=1,K24*1000000/Flaeche/12,"")</f>
        <v>1.05998844653801</v>
      </c>
      <c r="M24" s="15" t="n">
        <f aca="false">IF($B24=1,K24*1000000/Wohnungen/12,"")</f>
        <v>64.6592952388189</v>
      </c>
      <c r="N24" s="15" t="n">
        <f aca="false">IF($B24=1,N23+K24,"")</f>
        <v>3189.13132155467</v>
      </c>
      <c r="O24" s="56" t="n">
        <f aca="false">IF($B24=1,G24-I24,"")</f>
        <v>-60.5332290740363</v>
      </c>
      <c r="P24" s="19" t="n">
        <f aca="false">IF($B24=1,IF(Nur_Zinsen=1,Eigenkapital,IF($A24&gt;=Laufzeit_EK,0,IF(Zins_EK=0,Eigenkapital*(1-$A24/Laufzeit_EK),MAX(0,Eigenkapital*(1+Zins_EK)^$A24-KD_EK_Jahr*((1+Zins_EK)^$A24-1)/Zins_EK)))),"")</f>
        <v>2173.35856408041</v>
      </c>
      <c r="Q24" s="19" t="n">
        <f aca="false">IF($B24=1,IF(Nur_Zinsen=1,Fremdkapital,IF($A24&gt;=Laufzeit_FK,0,IF(Zins_FK=0,Fremdkapital*(1-$A24/Laufzeit_FK),MAX(0,Fremdkapital*(1+Zins_FK)^$A24-KD_FK_Jahr*((1+Zins_FK)^$A24-1)/Zins_FK)))),"")</f>
        <v>9094.16898360359</v>
      </c>
      <c r="R24" s="58" t="n">
        <f aca="false">IF($B24=1,1/(1+Diskontsatz)^$A24,"")</f>
        <v>0.456386946201292</v>
      </c>
      <c r="S24" s="56" t="n">
        <f aca="false">IF($B24=1,K24*R24,"")</f>
        <v>84.9878158970082</v>
      </c>
      <c r="T24" s="18" t="n">
        <f aca="false">IF($B24=1,IF(K24&gt;0,$A24,""),"")</f>
        <v>20</v>
      </c>
    </row>
    <row r="25" customFormat="false" ht="15" hidden="false" customHeight="false" outlineLevel="0" collapsed="false">
      <c r="A25" s="18" t="n">
        <f aca="false">A24+1</f>
        <v>21</v>
      </c>
      <c r="B25" s="18"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6" t="n">
        <f aca="false">IF($B25=1,J25-G25,"")</f>
        <v>190.454500633335</v>
      </c>
      <c r="L25" s="57" t="n">
        <f aca="false">IF($B25=1,K25*1000000/Flaeche/12,"")</f>
        <v>1.08409893347754</v>
      </c>
      <c r="M25" s="15" t="n">
        <f aca="false">IF($B25=1,K25*1000000/Wohnungen/12,"")</f>
        <v>66.1300349421301</v>
      </c>
      <c r="N25" s="15" t="n">
        <f aca="false">IF($B25=1,N24+K25,"")</f>
        <v>3379.585822188</v>
      </c>
      <c r="O25" s="56" t="n">
        <f aca="false">IF($B25=1,G25-I25,"")</f>
        <v>-64.7689594195725</v>
      </c>
      <c r="P25" s="19" t="n">
        <f aca="false">IF($B25=1,IF(Nur_Zinsen=1,Eigenkapital,IF($A25&gt;=Laufzeit_EK,0,IF(Zins_EK=0,Eigenkapital*(1-$A25/Laufzeit_EK),MAX(0,Eigenkapital*(1+Zins_EK)^$A25-KD_EK_Jahr*((1+Zins_EK)^$A25-1)/Zins_EK)))),"")</f>
        <v>2134.60736542987</v>
      </c>
      <c r="Q25" s="19" t="n">
        <f aca="false">IF($B25=1,IF(Nur_Zinsen=1,Fremdkapital,IF($A25&gt;=Laufzeit_FK,0,IF(Zins_FK=0,Fremdkapital*(1-$A25/Laufzeit_FK),MAX(0,Fremdkapital*(1+Zins_FK)^$A25-KD_FK_Jahr*((1+Zins_FK)^$A25-1)/Zins_FK)))),"")</f>
        <v>8957.28868953782</v>
      </c>
      <c r="R25" s="58" t="n">
        <f aca="false">IF($B25=1,1/(1+Diskontsatz)^$A25,"")</f>
        <v>0.438833602116627</v>
      </c>
      <c r="S25" s="56" t="n">
        <f aca="false">IF($B25=1,K25*R25,"")</f>
        <v>83.5778345522497</v>
      </c>
      <c r="T25" s="18" t="n">
        <f aca="false">IF($B25=1,IF(K25&gt;0,$A25,""),"")</f>
        <v>21</v>
      </c>
    </row>
    <row r="26" customFormat="false" ht="15" hidden="false" customHeight="false" outlineLevel="0" collapsed="false">
      <c r="A26" s="18" t="n">
        <f aca="false">A25+1</f>
        <v>22</v>
      </c>
      <c r="B26" s="18"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6" t="n">
        <f aca="false">IF($B26=1,J26-G26,"")</f>
        <v>194.923513992071</v>
      </c>
      <c r="L26" s="57" t="n">
        <f aca="false">IF($B26=1,K26*1000000/Flaeche/12,"")</f>
        <v>1.10953730642117</v>
      </c>
      <c r="M26" s="15" t="n">
        <f aca="false">IF($B26=1,K26*1000000/Wohnungen/12,"")</f>
        <v>67.6817756916913</v>
      </c>
      <c r="N26" s="15" t="n">
        <f aca="false">IF($B26=1,N25+K26,"")</f>
        <v>3574.50933618007</v>
      </c>
      <c r="O26" s="56" t="n">
        <f aca="false">IF($B26=1,G26-I26,"")</f>
        <v>-69.2379727783089</v>
      </c>
      <c r="P26" s="19" t="n">
        <f aca="false">IF($B26=1,IF(Nur_Zinsen=1,Eigenkapital,IF($A26&gt;=Laufzeit_EK,0,IF(Zins_EK=0,Eigenkapital*(1-$A26/Laufzeit_EK),MAX(0,Eigenkapital*(1+Zins_EK)^$A26-KD_EK_Jahr*((1+Zins_EK)^$A26-1)/Zins_EK)))),"")</f>
        <v>2094.3061188333</v>
      </c>
      <c r="Q26" s="19" t="n">
        <f aca="false">IF($B26=1,IF(Nur_Zinsen=1,Fremdkapital,IF($A26&gt;=Laufzeit_FK,0,IF(Zins_FK=0,Fremdkapital*(1-$A26/Laufzeit_FK),MAX(0,Fremdkapital*(1+Zins_FK)^$A26-KD_FK_Jahr*((1+Zins_FK)^$A26-1)/Zins_FK)))),"")</f>
        <v>8813.56438076876</v>
      </c>
      <c r="R26" s="58" t="n">
        <f aca="false">IF($B26=1,1/(1+Diskontsatz)^$A26,"")</f>
        <v>0.421955386650603</v>
      </c>
      <c r="S26" s="56" t="n">
        <f aca="false">IF($B26=1,K26*R26,"")</f>
        <v>82.2490267138185</v>
      </c>
      <c r="T26" s="18" t="n">
        <f aca="false">IF($B26=1,IF(K26&gt;0,$A26,""),"")</f>
        <v>22</v>
      </c>
    </row>
    <row r="27" customFormat="false" ht="15" hidden="false" customHeight="false" outlineLevel="0" collapsed="false">
      <c r="A27" s="18" t="n">
        <f aca="false">A26+1</f>
        <v>23</v>
      </c>
      <c r="B27" s="18"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6" t="n">
        <f aca="false">IF($B27=1,J27-G27,"")</f>
        <v>199.631961708335</v>
      </c>
      <c r="L27" s="57" t="n">
        <f aca="false">IF($B27=1,K27*1000000/Flaeche/12,"")</f>
        <v>1.13633857985163</v>
      </c>
      <c r="M27" s="15" t="n">
        <f aca="false">IF($B27=1,K27*1000000/Wohnungen/12,"")</f>
        <v>69.3166533709496</v>
      </c>
      <c r="N27" s="15" t="n">
        <f aca="false">IF($B27=1,N26+K27,"")</f>
        <v>3774.14129788841</v>
      </c>
      <c r="O27" s="56" t="n">
        <f aca="false">IF($B27=1,G27-I27,"")</f>
        <v>-73.9464204945728</v>
      </c>
      <c r="P27" s="19" t="n">
        <f aca="false">IF($B27=1,IF(Nur_Zinsen=1,Eigenkapital,IF($A27&gt;=Laufzeit_EK,0,IF(Zins_EK=0,Eigenkapital*(1-$A27/Laufzeit_EK),MAX(0,Eigenkapital*(1+Zins_EK)^$A27-KD_EK_Jahr*((1+Zins_EK)^$A27-1)/Zins_EK)))),"")</f>
        <v>2052.39282237287</v>
      </c>
      <c r="Q27" s="19" t="n">
        <f aca="false">IF($B27=1,IF(Nur_Zinsen=1,Fremdkapital,IF($A27&gt;=Laufzeit_FK,0,IF(Zins_FK=0,Fremdkapital*(1-$A27/Laufzeit_FK),MAX(0,Fremdkapital*(1+Zins_FK)^$A27-KD_FK_Jahr*((1+Zins_FK)^$A27-1)/Zins_FK)))),"")</f>
        <v>8662.65385656124</v>
      </c>
      <c r="R27" s="58" t="n">
        <f aca="false">IF($B27=1,1/(1+Diskontsatz)^$A27,"")</f>
        <v>0.405726333317887</v>
      </c>
      <c r="S27" s="56" t="n">
        <f aca="false">IF($B27=1,K27*R27,"")</f>
        <v>80.9959438369796</v>
      </c>
      <c r="T27" s="18" t="n">
        <f aca="false">IF($B27=1,IF(K27&gt;0,$A27,""),"")</f>
        <v>23</v>
      </c>
    </row>
    <row r="28" customFormat="false" ht="15" hidden="false" customHeight="false" outlineLevel="0" collapsed="false">
      <c r="A28" s="18" t="n">
        <f aca="false">A27+1</f>
        <v>24</v>
      </c>
      <c r="B28" s="18"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6" t="n">
        <f aca="false">IF($B28=1,J28-G28,"")</f>
        <v>204.58613301018</v>
      </c>
      <c r="L28" s="57" t="n">
        <f aca="false">IF($B28=1,K28*1000000/Flaeche/12,"")</f>
        <v>1.16453855310895</v>
      </c>
      <c r="M28" s="15" t="n">
        <f aca="false">IF($B28=1,K28*1000000/Wohnungen/12,"")</f>
        <v>71.036851739646</v>
      </c>
      <c r="N28" s="15" t="n">
        <f aca="false">IF($B28=1,N27+K28,"")</f>
        <v>3978.72743089859</v>
      </c>
      <c r="O28" s="56" t="n">
        <f aca="false">IF($B28=1,G28-I28,"")</f>
        <v>-78.9005917964183</v>
      </c>
      <c r="P28" s="19" t="n">
        <f aca="false">IF($B28=1,IF(Nur_Zinsen=1,Eigenkapital,IF($A28&gt;=Laufzeit_EK,0,IF(Zins_EK=0,Eigenkapital*(1-$A28/Laufzeit_EK),MAX(0,Eigenkapital*(1+Zins_EK)^$A28-KD_EK_Jahr*((1+Zins_EK)^$A28-1)/Zins_EK)))),"")</f>
        <v>2008.80299405402</v>
      </c>
      <c r="Q28" s="19" t="n">
        <f aca="false">IF($B28=1,IF(Nur_Zinsen=1,Fremdkapital,IF($A28&gt;=Laufzeit_FK,0,IF(Zins_FK=0,Fremdkapital*(1-$A28/Laufzeit_FK),MAX(0,Fremdkapital*(1+Zins_FK)^$A28-KD_FK_Jahr*((1+Zins_FK)^$A28-1)/Zins_FK)))),"")</f>
        <v>8504.19780614335</v>
      </c>
      <c r="R28" s="58" t="n">
        <f aca="false">IF($B28=1,1/(1+Diskontsatz)^$A28,"")</f>
        <v>0.390121474344123</v>
      </c>
      <c r="S28" s="56" t="n">
        <f aca="false">IF($B28=1,K28*R28,"")</f>
        <v>79.8134438402943</v>
      </c>
      <c r="T28" s="18" t="n">
        <f aca="false">IF($B28=1,IF(K28&gt;0,$A28,""),"")</f>
        <v>24</v>
      </c>
    </row>
    <row r="29" customFormat="false" ht="15" hidden="false" customHeight="false" outlineLevel="0" collapsed="false">
      <c r="A29" s="18" t="n">
        <f aca="false">A28+1</f>
        <v>25</v>
      </c>
      <c r="B29" s="18"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6" t="n">
        <f aca="false">IF($B29=1,J29-G29,"")</f>
        <v>209.792457915632</v>
      </c>
      <c r="L29" s="57" t="n">
        <f aca="false">IF($B29=1,K29*1000000/Flaeche/12,"")</f>
        <v>1.19417382693324</v>
      </c>
      <c r="M29" s="15" t="n">
        <f aca="false">IF($B29=1,K29*1000000/Wohnungen/12,"")</f>
        <v>72.8446034429276</v>
      </c>
      <c r="N29" s="15" t="n">
        <f aca="false">IF($B29=1,N28+K29,"")</f>
        <v>4188.51988881422</v>
      </c>
      <c r="O29" s="56" t="n">
        <f aca="false">IF($B29=1,G29-I29,"")</f>
        <v>-84.1069167018694</v>
      </c>
      <c r="P29" s="19" t="n">
        <f aca="false">IF($B29=1,IF(Nur_Zinsen=1,Eigenkapital,IF($A29&gt;=Laufzeit_EK,0,IF(Zins_EK=0,Eigenkapital*(1-$A29/Laufzeit_EK),MAX(0,Eigenkapital*(1+Zins_EK)^$A29-KD_EK_Jahr*((1+Zins_EK)^$A29-1)/Zins_EK)))),"")</f>
        <v>1963.46957260242</v>
      </c>
      <c r="Q29" s="19" t="n">
        <f aca="false">IF($B29=1,IF(Nur_Zinsen=1,Fremdkapital,IF($A29&gt;=Laufzeit_FK,0,IF(Zins_FK=0,Fremdkapital*(1-$A29/Laufzeit_FK),MAX(0,Fremdkapital*(1+Zins_FK)^$A29-KD_FK_Jahr*((1+Zins_FK)^$A29-1)/Zins_FK)))),"")</f>
        <v>8337.81895320456</v>
      </c>
      <c r="R29" s="58" t="n">
        <f aca="false">IF($B29=1,1/(1+Diskontsatz)^$A29,"")</f>
        <v>0.375116802253964</v>
      </c>
      <c r="S29" s="56" t="n">
        <f aca="false">IF($B29=1,K29*R29,"")</f>
        <v>78.696675950311</v>
      </c>
      <c r="T29" s="18" t="n">
        <f aca="false">IF($B29=1,IF(K29&gt;0,$A29,""),"")</f>
        <v>25</v>
      </c>
    </row>
    <row r="30" customFormat="false" ht="15" hidden="false" customHeight="false" outlineLevel="0" collapsed="false">
      <c r="A30" s="18" t="n">
        <f aca="false">A29+1</f>
        <v>26</v>
      </c>
      <c r="B30" s="18"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6" t="n">
        <f aca="false">IF($B30=1,J30-G30,"")</f>
        <v>215.257510198536</v>
      </c>
      <c r="L30" s="57" t="n">
        <f aca="false">IF($B30=1,K30*1000000/Flaeche/12,"")</f>
        <v>1.22528182034686</v>
      </c>
      <c r="M30" s="15" t="n">
        <f aca="false">IF($B30=1,K30*1000000/Wohnungen/12,"")</f>
        <v>74.7421910411582</v>
      </c>
      <c r="N30" s="15" t="n">
        <f aca="false">IF($B30=1,N29+K30,"")</f>
        <v>4403.77739901276</v>
      </c>
      <c r="O30" s="56" t="n">
        <f aca="false">IF($B30=1,G30-I30,"")</f>
        <v>-89.5719689847734</v>
      </c>
      <c r="P30" s="19" t="n">
        <f aca="false">IF($B30=1,IF(Nur_Zinsen=1,Eigenkapital,IF($A30&gt;=Laufzeit_EK,0,IF(Zins_EK=0,Eigenkapital*(1-$A30/Laufzeit_EK),MAX(0,Eigenkapital*(1+Zins_EK)^$A30-KD_EK_Jahr*((1+Zins_EK)^$A30-1)/Zins_EK)))),"")</f>
        <v>1916.32281429276</v>
      </c>
      <c r="Q30" s="19" t="n">
        <f aca="false">IF($B30=1,IF(Nur_Zinsen=1,Fremdkapital,IF($A30&gt;=Laufzeit_FK,0,IF(Zins_FK=0,Fremdkapital*(1-$A30/Laufzeit_FK),MAX(0,Fremdkapital*(1+Zins_FK)^$A30-KD_FK_Jahr*((1+Zins_FK)^$A30-1)/Zins_FK)))),"")</f>
        <v>8163.12115761883</v>
      </c>
      <c r="R30" s="58" t="n">
        <f aca="false">IF($B30=1,1/(1+Diskontsatz)^$A30,"")</f>
        <v>0.360689232936504</v>
      </c>
      <c r="S30" s="56" t="n">
        <f aca="false">IF($B30=1,K30*R30,"")</f>
        <v>77.6410662373314</v>
      </c>
      <c r="T30" s="18" t="n">
        <f aca="false">IF($B30=1,IF(K30&gt;0,$A30,""),"")</f>
        <v>26</v>
      </c>
    </row>
    <row r="31" customFormat="false" ht="15" hidden="false" customHeight="false" outlineLevel="0" collapsed="false">
      <c r="A31" s="18" t="n">
        <f aca="false">A30+1</f>
        <v>27</v>
      </c>
      <c r="B31" s="18"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6" t="n">
        <f aca="false">IF($B31=1,J31-G31,"")</f>
        <v>220.988010415236</v>
      </c>
      <c r="L31" s="57" t="n">
        <f aca="false">IF($B31=1,K31*1000000/Flaeche/12,"")</f>
        <v>1.25790078788272</v>
      </c>
      <c r="M31" s="15" t="n">
        <f aca="false">IF($B31=1,K31*1000000/Wohnungen/12,"")</f>
        <v>76.7319480608459</v>
      </c>
      <c r="N31" s="15" t="n">
        <f aca="false">IF($B31=1,N30+K31,"")</f>
        <v>4624.76540942799</v>
      </c>
      <c r="O31" s="56" t="n">
        <f aca="false">IF($B31=1,G31-I31,"")</f>
        <v>-95.3024692014741</v>
      </c>
      <c r="P31" s="19" t="n">
        <f aca="false">IF($B31=1,IF(Nur_Zinsen=1,Eigenkapital,IF($A31&gt;=Laufzeit_EK,0,IF(Zins_EK=0,Eigenkapital*(1-$A31/Laufzeit_EK),MAX(0,Eigenkapital*(1+Zins_EK)^$A31-KD_EK_Jahr*((1+Zins_EK)^$A31-1)/Zins_EK)))),"")</f>
        <v>1867.29018565071</v>
      </c>
      <c r="Q31" s="19" t="n">
        <f aca="false">IF($B31=1,IF(Nur_Zinsen=1,Fremdkapital,IF($A31&gt;=Laufzeit_FK,0,IF(Zins_FK=0,Fremdkapital*(1-$A31/Laufzeit_FK),MAX(0,Fremdkapital*(1+Zins_FK)^$A31-KD_FK_Jahr*((1+Zins_FK)^$A31-1)/Zins_FK)))),"")</f>
        <v>7979.68847225382</v>
      </c>
      <c r="R31" s="58" t="n">
        <f aca="false">IF($B31=1,1/(1+Diskontsatz)^$A31,"")</f>
        <v>0.346816570131254</v>
      </c>
      <c r="S31" s="56" t="n">
        <f aca="false">IF($B31=1,K31*R31,"")</f>
        <v>76.642303812342</v>
      </c>
      <c r="T31" s="18" t="n">
        <f aca="false">IF($B31=1,IF(K31&gt;0,$A31,""),"")</f>
        <v>27</v>
      </c>
    </row>
    <row r="32" customFormat="false" ht="15" hidden="false" customHeight="false" outlineLevel="0" collapsed="false">
      <c r="A32" s="18" t="n">
        <f aca="false">A31+1</f>
        <v>28</v>
      </c>
      <c r="B32" s="18"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6" t="n">
        <f aca="false">IF($B32=1,J32-G32,"")</f>
        <v>226.99082899329</v>
      </c>
      <c r="L32" s="57" t="n">
        <f aca="false">IF($B32=1,K32*1000000/Flaeche/12,"")</f>
        <v>1.29206983716581</v>
      </c>
      <c r="M32" s="15" t="n">
        <f aca="false">IF($B32=1,K32*1000000/Wohnungen/12,"")</f>
        <v>78.8162600671144</v>
      </c>
      <c r="N32" s="15" t="n">
        <f aca="false">IF($B32=1,N31+K32,"")</f>
        <v>4851.75623842128</v>
      </c>
      <c r="O32" s="56" t="n">
        <f aca="false">IF($B32=1,G32-I32,"")</f>
        <v>-101.305287779527</v>
      </c>
      <c r="P32" s="19" t="n">
        <f aca="false">IF($B32=1,IF(Nur_Zinsen=1,Eigenkapital,IF($A32&gt;=Laufzeit_EK,0,IF(Zins_EK=0,Eigenkapital*(1-$A32/Laufzeit_EK),MAX(0,Eigenkapital*(1+Zins_EK)^$A32-KD_EK_Jahr*((1+Zins_EK)^$A32-1)/Zins_EK)))),"")</f>
        <v>1816.29625186297</v>
      </c>
      <c r="Q32" s="19" t="n">
        <f aca="false">IF($B32=1,IF(Nur_Zinsen=1,Fremdkapital,IF($A32&gt;=Laufzeit_FK,0,IF(Zins_FK=0,Fremdkapital*(1-$A32/Laufzeit_FK),MAX(0,Fremdkapital*(1+Zins_FK)^$A32-KD_FK_Jahr*((1+Zins_FK)^$A32-1)/Zins_FK)))),"")</f>
        <v>7787.08415262056</v>
      </c>
      <c r="R32" s="58" t="n">
        <f aca="false">IF($B32=1,1/(1+Diskontsatz)^$A32,"")</f>
        <v>0.333477471280052</v>
      </c>
      <c r="S32" s="56" t="n">
        <f aca="false">IF($B32=1,K32*R32,"")</f>
        <v>75.6963276564448</v>
      </c>
      <c r="T32" s="18" t="n">
        <f aca="false">IF($B32=1,IF(K32&gt;0,$A32,""),"")</f>
        <v>28</v>
      </c>
    </row>
    <row r="33" customFormat="false" ht="15" hidden="false" customHeight="false" outlineLevel="0" collapsed="false">
      <c r="A33" s="18" t="n">
        <f aca="false">A32+1</f>
        <v>29</v>
      </c>
      <c r="B33" s="18"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6" t="n">
        <f aca="false">IF($B33=1,J33-G33,"")</f>
        <v>233.272989383494</v>
      </c>
      <c r="L33" s="57" t="n">
        <f aca="false">IF($B33=1,K33*1000000/Flaeche/12,"")</f>
        <v>1.32782894685504</v>
      </c>
      <c r="M33" s="15" t="n">
        <f aca="false">IF($B33=1,K33*1000000/Wohnungen/12,"")</f>
        <v>80.9975657581575</v>
      </c>
      <c r="N33" s="15" t="n">
        <f aca="false">IF($B33=1,N32+K33,"")</f>
        <v>5085.02922780478</v>
      </c>
      <c r="O33" s="56" t="n">
        <f aca="false">IF($B33=1,G33-I33,"")</f>
        <v>-107.587448169732</v>
      </c>
      <c r="P33" s="19" t="n">
        <f aca="false">IF($B33=1,IF(Nur_Zinsen=1,Eigenkapital,IF($A33&gt;=Laufzeit_EK,0,IF(Zins_EK=0,Eigenkapital*(1-$A33/Laufzeit_EK),MAX(0,Eigenkapital*(1+Zins_EK)^$A33-KD_EK_Jahr*((1+Zins_EK)^$A33-1)/Zins_EK)))),"")</f>
        <v>1763.26256072373</v>
      </c>
      <c r="Q33" s="19" t="n">
        <f aca="false">IF($B33=1,IF(Nur_Zinsen=1,Fremdkapital,IF($A33&gt;=Laufzeit_FK,0,IF(Zins_FK=0,Fremdkapital*(1-$A33/Laufzeit_FK),MAX(0,Fremdkapital*(1+Zins_FK)^$A33-KD_FK_Jahr*((1+Zins_FK)^$A33-1)/Zins_FK)))),"")</f>
        <v>7584.84961700563</v>
      </c>
      <c r="R33" s="58" t="n">
        <f aca="false">IF($B33=1,1/(1+Diskontsatz)^$A33,"")</f>
        <v>0.320651414692357</v>
      </c>
      <c r="S33" s="56" t="n">
        <f aca="false">IF($B33=1,K33*R33,"")</f>
        <v>74.7993140553325</v>
      </c>
      <c r="T33" s="18" t="n">
        <f aca="false">IF($B33=1,IF(K33&gt;0,$A33,""),"")</f>
        <v>29</v>
      </c>
    </row>
    <row r="34" customFormat="false" ht="15" hidden="false" customHeight="false" outlineLevel="0" collapsed="false">
      <c r="A34" s="18" t="n">
        <f aca="false">A33+1</f>
        <v>30</v>
      </c>
      <c r="B34" s="18"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6" t="n">
        <f aca="false">IF($B34=1,J34-G34,"")</f>
        <v>239.841671276497</v>
      </c>
      <c r="L34" s="57" t="n">
        <f aca="false">IF($B34=1,K34*1000000/Flaeche/12,"")</f>
        <v>1.36521898495274</v>
      </c>
      <c r="M34" s="15" t="n">
        <f aca="false">IF($B34=1,K34*1000000/Wohnungen/12,"")</f>
        <v>83.278358082117</v>
      </c>
      <c r="N34" s="15" t="n">
        <f aca="false">IF($B34=1,N33+K34,"")</f>
        <v>5324.87089908127</v>
      </c>
      <c r="O34" s="56" t="n">
        <f aca="false">IF($B34=1,G34-I34,"")</f>
        <v>-114.156130062735</v>
      </c>
      <c r="P34" s="19" t="n">
        <f aca="false">IF($B34=1,IF(Nur_Zinsen=1,Eigenkapital,IF($A34&gt;=Laufzeit_EK,0,IF(Zins_EK=0,Eigenkapital*(1-$A34/Laufzeit_EK),MAX(0,Eigenkapital*(1+Zins_EK)^$A34-KD_EK_Jahr*((1+Zins_EK)^$A34-1)/Zins_EK)))),"")</f>
        <v>1708.10752193892</v>
      </c>
      <c r="Q34" s="19" t="n">
        <f aca="false">IF($B34=1,IF(Nur_Zinsen=1,Fremdkapital,IF($A34&gt;=Laufzeit_FK,0,IF(Zins_FK=0,Fremdkapital*(1-$A34/Laufzeit_FK),MAX(0,Fremdkapital*(1+Zins_FK)^$A34-KD_FK_Jahr*((1+Zins_FK)^$A34-1)/Zins_FK)))),"")</f>
        <v>7372.50335460997</v>
      </c>
      <c r="R34" s="58" t="n">
        <f aca="false">IF($B34=1,1/(1+Diskontsatz)^$A34,"")</f>
        <v>0.30831866797342</v>
      </c>
      <c r="S34" s="56" t="n">
        <f aca="false">IF($B34=1,K34*R34,"")</f>
        <v>73.9476646124885</v>
      </c>
      <c r="T34" s="18" t="n">
        <f aca="false">IF($B34=1,IF(K34&gt;0,$A34,""),"")</f>
        <v>30</v>
      </c>
    </row>
    <row r="35" customFormat="false" ht="15" hidden="false" customHeight="false" outlineLevel="0" collapsed="false">
      <c r="A35" s="18" t="n">
        <f aca="false">A34+1</f>
        <v>31</v>
      </c>
      <c r="B35" s="18"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6" t="n">
        <f aca="false">IF($B35=1,J35-G35,"")</f>
        <v>246.704213885306</v>
      </c>
      <c r="L35" s="57" t="n">
        <f aca="false">IF($B35=1,K35*1000000/Flaeche/12,"")</f>
        <v>1.40428172748922</v>
      </c>
      <c r="M35" s="15" t="n">
        <f aca="false">IF($B35=1,K35*1000000/Wohnungen/12,"")</f>
        <v>85.6611853768423</v>
      </c>
      <c r="N35" s="15" t="n">
        <f aca="false">IF($B35=1,N34+K35,"")</f>
        <v>5571.57511296658</v>
      </c>
      <c r="O35" s="56" t="n">
        <f aca="false">IF($B35=1,G35-I35,"")</f>
        <v>-121.018672671544</v>
      </c>
      <c r="P35" s="19" t="n">
        <f aca="false">IF($B35=1,IF(Nur_Zinsen=1,Eigenkapital,IF($A35&gt;=Laufzeit_EK,0,IF(Zins_EK=0,Eigenkapital*(1-$A35/Laufzeit_EK),MAX(0,Eigenkapital*(1+Zins_EK)^$A35-KD_EK_Jahr*((1+Zins_EK)^$A35-1)/Zins_EK)))),"")</f>
        <v>1650.74628160271</v>
      </c>
      <c r="Q35" s="19" t="n">
        <f aca="false">IF($B35=1,IF(Nur_Zinsen=1,Fremdkapital,IF($A35&gt;=Laufzeit_FK,0,IF(Zins_FK=0,Fremdkapital*(1-$A35/Laufzeit_FK),MAX(0,Fremdkapital*(1+Zins_FK)^$A35-KD_FK_Jahr*((1+Zins_FK)^$A35-1)/Zins_FK)))),"")</f>
        <v>7149.53977909451</v>
      </c>
      <c r="R35" s="58" t="n">
        <f aca="false">IF($B35=1,1/(1+Diskontsatz)^$A35,"")</f>
        <v>0.29646025766675</v>
      </c>
      <c r="S35" s="56" t="n">
        <f aca="false">IF($B35=1,K35*R35,"")</f>
        <v>73.1379948159108</v>
      </c>
      <c r="T35" s="18" t="n">
        <f aca="false">IF($B35=1,IF(K35&gt;0,$A35,""),"")</f>
        <v>31</v>
      </c>
    </row>
    <row r="36" customFormat="false" ht="15" hidden="false" customHeight="false" outlineLevel="0" collapsed="false">
      <c r="A36" s="18" t="n">
        <f aca="false">A35+1</f>
        <v>32</v>
      </c>
      <c r="B36" s="18"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6" t="n">
        <f aca="false">IF($B36=1,J36-G36,"")</f>
        <v>253.868119295016</v>
      </c>
      <c r="L36" s="57" t="n">
        <f aca="false">IF($B36=1,K36*1000000/Flaeche/12,"")</f>
        <v>1.44505987759003</v>
      </c>
      <c r="M36" s="15" t="n">
        <f aca="false">IF($B36=1,K36*1000000/Wohnungen/12,"")</f>
        <v>88.1486525329917</v>
      </c>
      <c r="N36" s="15" t="n">
        <f aca="false">IF($B36=1,N35+K36,"")</f>
        <v>5825.44323226159</v>
      </c>
      <c r="O36" s="56" t="n">
        <f aca="false">IF($B36=1,G36-I36,"")</f>
        <v>-128.182578081254</v>
      </c>
      <c r="P36" s="19" t="n">
        <f aca="false">IF($B36=1,IF(Nur_Zinsen=1,Eigenkapital,IF($A36&gt;=Laufzeit_EK,0,IF(Zins_EK=0,Eigenkapital*(1-$A36/Laufzeit_EK),MAX(0,Eigenkapital*(1+Zins_EK)^$A36-KD_EK_Jahr*((1+Zins_EK)^$A36-1)/Zins_EK)))),"")</f>
        <v>1591.09059165306</v>
      </c>
      <c r="Q36" s="19" t="n">
        <f aca="false">IF($B36=1,IF(Nur_Zinsen=1,Fremdkapital,IF($A36&gt;=Laufzeit_FK,0,IF(Zins_FK=0,Fremdkapital*(1-$A36/Laufzeit_FK),MAX(0,Fremdkapital*(1+Zins_FK)^$A36-KD_FK_Jahr*((1+Zins_FK)^$A36-1)/Zins_FK)))),"")</f>
        <v>6915.42802480327</v>
      </c>
      <c r="R36" s="58" t="n">
        <f aca="false">IF($B36=1,1/(1+Diskontsatz)^$A36,"")</f>
        <v>0.285057940064183</v>
      </c>
      <c r="S36" s="56" t="n">
        <f aca="false">IF($B36=1,K36*R36,"")</f>
        <v>72.3671231342055</v>
      </c>
      <c r="T36" s="18" t="n">
        <f aca="false">IF($B36=1,IF(K36&gt;0,$A36,""),"")</f>
        <v>32</v>
      </c>
    </row>
    <row r="37" customFormat="false" ht="15" hidden="false" customHeight="false" outlineLevel="0" collapsed="false">
      <c r="A37" s="18" t="n">
        <f aca="false">A36+1</f>
        <v>33</v>
      </c>
      <c r="B37" s="18"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6" t="n">
        <f aca="false">IF($B37=1,J37-G37,"")</f>
        <v>261.341055881132</v>
      </c>
      <c r="L37" s="57" t="n">
        <f aca="false">IF($B37=1,K37*1000000/Flaeche/12,"")</f>
        <v>1.48759708493358</v>
      </c>
      <c r="M37" s="15" t="n">
        <f aca="false">IF($B37=1,K37*1000000/Wohnungen/12,"")</f>
        <v>90.7434221809485</v>
      </c>
      <c r="N37" s="15" t="n">
        <f aca="false">IF($B37=1,N36+K37,"")</f>
        <v>6086.78428814273</v>
      </c>
      <c r="O37" s="56" t="n">
        <f aca="false">IF($B37=1,G37-I37,"")</f>
        <v>-135.655514667369</v>
      </c>
      <c r="P37" s="19" t="n">
        <f aca="false">IF($B37=1,IF(Nur_Zinsen=1,Eigenkapital,IF($A37&gt;=Laufzeit_EK,0,IF(Zins_EK=0,Eigenkapital*(1-$A37/Laufzeit_EK),MAX(0,Eigenkapital*(1+Zins_EK)^$A37-KD_EK_Jahr*((1+Zins_EK)^$A37-1)/Zins_EK)))),"")</f>
        <v>1529.04867410542</v>
      </c>
      <c r="Q37" s="19" t="n">
        <f aca="false">IF($B37=1,IF(Nur_Zinsen=1,Fremdkapital,IF($A37&gt;=Laufzeit_FK,0,IF(Zins_FK=0,Fremdkapital*(1-$A37/Laufzeit_FK),MAX(0,Fremdkapital*(1+Zins_FK)^$A37-KD_FK_Jahr*((1+Zins_FK)^$A37-1)/Zins_FK)))),"")</f>
        <v>6669.61068279749</v>
      </c>
      <c r="R37" s="58" t="n">
        <f aca="false">IF($B37=1,1/(1+Diskontsatz)^$A37,"")</f>
        <v>0.274094173138638</v>
      </c>
      <c r="S37" s="56" t="n">
        <f aca="false">IF($B37=1,K37*R37,"")</f>
        <v>71.6320606189172</v>
      </c>
      <c r="T37" s="18" t="n">
        <f aca="false">IF($B37=1,IF(K37&gt;0,$A37,""),"")</f>
        <v>33</v>
      </c>
    </row>
    <row r="38" customFormat="false" ht="15" hidden="false" customHeight="false" outlineLevel="0" collapsed="false">
      <c r="A38" s="18" t="n">
        <f aca="false">A37+1</f>
        <v>34</v>
      </c>
      <c r="B38" s="18"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6" t="n">
        <f aca="false">IF($B38=1,J38-G38,"")</f>
        <v>269.130861797864</v>
      </c>
      <c r="L38" s="57" t="n">
        <f aca="false">IF($B38=1,K38*1000000/Flaeche/12,"")</f>
        <v>1.53193796560715</v>
      </c>
      <c r="M38" s="15" t="n">
        <f aca="false">IF($B38=1,K38*1000000/Wohnungen/12,"")</f>
        <v>93.4482159020361</v>
      </c>
      <c r="N38" s="15" t="n">
        <f aca="false">IF($B38=1,N37+K38,"")</f>
        <v>6355.91514994059</v>
      </c>
      <c r="O38" s="56" t="n">
        <f aca="false">IF($B38=1,G38-I38,"")</f>
        <v>-143.445320584102</v>
      </c>
      <c r="P38" s="19" t="n">
        <f aca="false">IF($B38=1,IF(Nur_Zinsen=1,Eigenkapital,IF($A38&gt;=Laufzeit_EK,0,IF(Zins_EK=0,Eigenkapital*(1-$A38/Laufzeit_EK),MAX(0,Eigenkapital*(1+Zins_EK)^$A38-KD_EK_Jahr*((1+Zins_EK)^$A38-1)/Zins_EK)))),"")</f>
        <v>1464.52507985587</v>
      </c>
      <c r="Q38" s="19" t="n">
        <f aca="false">IF($B38=1,IF(Nur_Zinsen=1,Fremdkapital,IF($A38&gt;=Laufzeit_FK,0,IF(Zins_FK=0,Fremdkapital*(1-$A38/Laufzeit_FK),MAX(0,Fremdkapital*(1+Zins_FK)^$A38-KD_FK_Jahr*((1+Zins_FK)^$A38-1)/Zins_FK)))),"")</f>
        <v>6411.50247369141</v>
      </c>
      <c r="R38" s="58" t="n">
        <f aca="false">IF($B38=1,1/(1+Diskontsatz)^$A38,"")</f>
        <v>0.263552089556382</v>
      </c>
      <c r="S38" s="56" t="n">
        <f aca="false">IF($B38=1,K38*R38,"")</f>
        <v>70.930000990937</v>
      </c>
      <c r="T38" s="18" t="n">
        <f aca="false">IF($B38=1,IF(K38&gt;0,$A38,""),"")</f>
        <v>34</v>
      </c>
    </row>
    <row r="39" customFormat="false" ht="15" hidden="false" customHeight="false" outlineLevel="0" collapsed="false">
      <c r="A39" s="18" t="n">
        <f aca="false">A38+1</f>
        <v>35</v>
      </c>
      <c r="B39" s="18"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6" t="n">
        <f aca="false">IF($B39=1,J39-G39,"")</f>
        <v>277.245548537814</v>
      </c>
      <c r="L39" s="57" t="n">
        <f aca="false">IF($B39=1,K39*1000000/Flaeche/12,"")</f>
        <v>1.57812812236916</v>
      </c>
      <c r="M39" s="15" t="n">
        <f aca="false">IF($B39=1,K39*1000000/Wohnungen/12,"")</f>
        <v>96.2658154645188</v>
      </c>
      <c r="N39" s="15" t="n">
        <f aca="false">IF($B39=1,N38+K39,"")</f>
        <v>6633.1606984784</v>
      </c>
      <c r="O39" s="56" t="n">
        <f aca="false">IF($B39=1,G39-I39,"")</f>
        <v>-151.560007324052</v>
      </c>
      <c r="P39" s="19" t="n">
        <f aca="false">IF($B39=1,IF(Nur_Zinsen=1,Eigenkapital,IF($A39&gt;=Laufzeit_EK,0,IF(Zins_EK=0,Eigenkapital*(1-$A39/Laufzeit_EK),MAX(0,Eigenkapital*(1+Zins_EK)^$A39-KD_EK_Jahr*((1+Zins_EK)^$A39-1)/Zins_EK)))),"")</f>
        <v>1397.42054183634</v>
      </c>
      <c r="Q39" s="19" t="n">
        <f aca="false">IF($B39=1,IF(Nur_Zinsen=1,Fremdkapital,IF($A39&gt;=Laufzeit_FK,0,IF(Zins_FK=0,Fremdkapital*(1-$A39/Laufzeit_FK),MAX(0,Fremdkapital*(1+Zins_FK)^$A39-KD_FK_Jahr*((1+Zins_FK)^$A39-1)/Zins_FK)))),"")</f>
        <v>6140.48885413002</v>
      </c>
      <c r="R39" s="58" t="n">
        <f aca="false">IF($B39=1,1/(1+Diskontsatz)^$A39,"")</f>
        <v>0.253415470727291</v>
      </c>
      <c r="S39" s="56" t="n">
        <f aca="false">IF($B39=1,K39*R39,"")</f>
        <v>70.2583111897561</v>
      </c>
      <c r="T39" s="18" t="n">
        <f aca="false">IF($B39=1,IF(K39&gt;0,$A39,""),"")</f>
        <v>35</v>
      </c>
    </row>
    <row r="40" customFormat="false" ht="15" hidden="false" customHeight="false" outlineLevel="0" collapsed="false">
      <c r="A40" s="18" t="n">
        <f aca="false">A39+1</f>
        <v>36</v>
      </c>
      <c r="B40" s="18"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6" t="n">
        <f aca="false">IF($B40=1,J40-G40,"")</f>
        <v>285.693304564495</v>
      </c>
      <c r="L40" s="57" t="n">
        <f aca="false">IF($B40=1,K40*1000000/Flaeche/12,"")</f>
        <v>1.62621416532613</v>
      </c>
      <c r="M40" s="15" t="n">
        <f aca="false">IF($B40=1,K40*1000000/Wohnungen/12,"")</f>
        <v>99.1990640848942</v>
      </c>
      <c r="N40" s="15" t="n">
        <f aca="false">IF($B40=1,N39+K40,"")</f>
        <v>6918.8540030429</v>
      </c>
      <c r="O40" s="56" t="n">
        <f aca="false">IF($B40=1,G40-I40,"")</f>
        <v>-160.007763350733</v>
      </c>
      <c r="P40" s="19" t="n">
        <f aca="false">IF($B40=1,IF(Nur_Zinsen=1,Eigenkapital,IF($A40&gt;=Laufzeit_EK,0,IF(Zins_EK=0,Eigenkapital*(1-$A40/Laufzeit_EK),MAX(0,Eigenkapital*(1+Zins_EK)^$A40-KD_EK_Jahr*((1+Zins_EK)^$A40-1)/Zins_EK)))),"")</f>
        <v>1327.63182229603</v>
      </c>
      <c r="Q40" s="19" t="n">
        <f aca="false">IF($B40=1,IF(Nur_Zinsen=1,Fremdkapital,IF($A40&gt;=Laufzeit_FK,0,IF(Zins_FK=0,Fremdkapital*(1-$A40/Laufzeit_FK),MAX(0,Fremdkapital*(1+Zins_FK)^$A40-KD_FK_Jahr*((1+Zins_FK)^$A40-1)/Zins_FK)))),"")</f>
        <v>5855.92455359057</v>
      </c>
      <c r="R40" s="58" t="n">
        <f aca="false">IF($B40=1,1/(1+Diskontsatz)^$A40,"")</f>
        <v>0.243668721853164</v>
      </c>
      <c r="S40" s="56" t="n">
        <f aca="false">IF($B40=1,K40*R40,"")</f>
        <v>69.6145223652373</v>
      </c>
      <c r="T40" s="18" t="n">
        <f aca="false">IF($B40=1,IF(K40&gt;0,$A40,""),"")</f>
        <v>36</v>
      </c>
    </row>
    <row r="41" customFormat="false" ht="15" hidden="false" customHeight="false" outlineLevel="0" collapsed="false">
      <c r="A41" s="18" t="n">
        <f aca="false">A40+1</f>
        <v>37</v>
      </c>
      <c r="B41" s="18"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6" t="n">
        <f aca="false">IF($B41=1,J41-G41,"")</f>
        <v>294.482499019161</v>
      </c>
      <c r="L41" s="57" t="n">
        <f aca="false">IF($B41=1,K41*1000000/Flaeche/12,"")</f>
        <v>1.67624373303256</v>
      </c>
      <c r="M41" s="15" t="n">
        <f aca="false">IF($B41=1,K41*1000000/Wohnungen/12,"")</f>
        <v>102.250867714986</v>
      </c>
      <c r="N41" s="15" t="n">
        <f aca="false">IF($B41=1,N40+K41,"")</f>
        <v>7213.33650206206</v>
      </c>
      <c r="O41" s="56" t="n">
        <f aca="false">IF($B41=1,G41-I41,"")</f>
        <v>-168.796957805398</v>
      </c>
      <c r="P41" s="19" t="n">
        <f aca="false">IF($B41=1,IF(Nur_Zinsen=1,Eigenkapital,IF($A41&gt;=Laufzeit_EK,0,IF(Zins_EK=0,Eigenkapital*(1-$A41/Laufzeit_EK),MAX(0,Eigenkapital*(1+Zins_EK)^$A41-KD_EK_Jahr*((1+Zins_EK)^$A41-1)/Zins_EK)))),"")</f>
        <v>1255.05155397411</v>
      </c>
      <c r="Q41" s="19" t="n">
        <f aca="false">IF($B41=1,IF(Nur_Zinsen=1,Fremdkapital,IF($A41&gt;=Laufzeit_FK,0,IF(Zins_FK=0,Fremdkapital*(1-$A41/Laufzeit_FK),MAX(0,Fremdkapital*(1+Zins_FK)^$A41-KD_FK_Jahr*((1+Zins_FK)^$A41-1)/Zins_FK)))),"")</f>
        <v>5557.13203802415</v>
      </c>
      <c r="R41" s="58" t="n">
        <f aca="false">IF($B41=1,1/(1+Diskontsatz)^$A41,"")</f>
        <v>0.234296847935735</v>
      </c>
      <c r="S41" s="56" t="n">
        <f aca="false">IF($B41=1,K41*R41,"")</f>
        <v>68.9963212924274</v>
      </c>
      <c r="T41" s="18" t="n">
        <f aca="false">IF($B41=1,IF(K41&gt;0,$A41,""),"")</f>
        <v>37</v>
      </c>
    </row>
    <row r="42" customFormat="false" ht="15" hidden="false" customHeight="false" outlineLevel="0" collapsed="false">
      <c r="A42" s="18" t="n">
        <f aca="false">A41+1</f>
        <v>38</v>
      </c>
      <c r="B42" s="18"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6" t="n">
        <f aca="false">IF($B42=1,J42-G42,"")</f>
        <v>303.621685503446</v>
      </c>
      <c r="L42" s="57" t="n">
        <f aca="false">IF($B42=1,K42*1000000/Flaeche/12,"")</f>
        <v>1.72826551402235</v>
      </c>
      <c r="M42" s="15" t="n">
        <f aca="false">IF($B42=1,K42*1000000/Wohnungen/12,"")</f>
        <v>105.424196355363</v>
      </c>
      <c r="N42" s="15" t="n">
        <f aca="false">IF($B42=1,N41+K42,"")</f>
        <v>7516.95818756551</v>
      </c>
      <c r="O42" s="56" t="n">
        <f aca="false">IF($B42=1,G42-I42,"")</f>
        <v>-177.936144289684</v>
      </c>
      <c r="P42" s="19" t="n">
        <f aca="false">IF($B42=1,IF(Nur_Zinsen=1,Eigenkapital,IF($A42&gt;=Laufzeit_EK,0,IF(Zins_EK=0,Eigenkapital*(1-$A42/Laufzeit_EK),MAX(0,Eigenkapital*(1+Zins_EK)^$A42-KD_EK_Jahr*((1+Zins_EK)^$A42-1)/Zins_EK)))),"")</f>
        <v>1179.56807491932</v>
      </c>
      <c r="Q42" s="19" t="n">
        <f aca="false">IF($B42=1,IF(Nur_Zinsen=1,Fremdkapital,IF($A42&gt;=Laufzeit_FK,0,IF(Zins_FK=0,Fremdkapital*(1-$A42/Laufzeit_FK),MAX(0,Fremdkapital*(1+Zins_FK)^$A42-KD_FK_Jahr*((1+Zins_FK)^$A42-1)/Zins_FK)))),"")</f>
        <v>5243.3998966794</v>
      </c>
      <c r="R42" s="58" t="n">
        <f aca="false">IF($B42=1,1/(1+Diskontsatz)^$A42,"")</f>
        <v>0.225285430707437</v>
      </c>
      <c r="S42" s="56" t="n">
        <f aca="false">IF($B42=1,K42*R42,"")</f>
        <v>68.4015421907618</v>
      </c>
      <c r="T42" s="18" t="n">
        <f aca="false">IF($B42=1,IF(K42&gt;0,$A42,""),"")</f>
        <v>38</v>
      </c>
    </row>
    <row r="43" customFormat="false" ht="15" hidden="false" customHeight="false" outlineLevel="0" collapsed="false">
      <c r="A43" s="18" t="n">
        <f aca="false">A42+1</f>
        <v>39</v>
      </c>
      <c r="B43" s="18"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6" t="n">
        <f aca="false">IF($B43=1,J43-G43,"")</f>
        <v>313.119605939347</v>
      </c>
      <c r="L43" s="57" t="n">
        <f aca="false">IF($B43=1,K43*1000000/Flaeche/12,"")</f>
        <v>1.78232926878044</v>
      </c>
      <c r="M43" s="15" t="n">
        <f aca="false">IF($B43=1,K43*1000000/Wohnungen/12,"")</f>
        <v>108.722085395607</v>
      </c>
      <c r="N43" s="15" t="n">
        <f aca="false">IF($B43=1,N42+K43,"")</f>
        <v>7830.07779350485</v>
      </c>
      <c r="O43" s="56" t="n">
        <f aca="false">IF($B43=1,G43-I43,"")</f>
        <v>-187.434064725585</v>
      </c>
      <c r="P43" s="19" t="n">
        <f aca="false">IF($B43=1,IF(Nur_Zinsen=1,Eigenkapital,IF($A43&gt;=Laufzeit_EK,0,IF(Zins_EK=0,Eigenkapital*(1-$A43/Laufzeit_EK),MAX(0,Eigenkapital*(1+Zins_EK)^$A43-KD_EK_Jahr*((1+Zins_EK)^$A43-1)/Zins_EK)))),"")</f>
        <v>1101.06525670233</v>
      </c>
      <c r="Q43" s="19" t="n">
        <f aca="false">IF($B43=1,IF(Nur_Zinsen=1,Fremdkapital,IF($A43&gt;=Laufzeit_FK,0,IF(Zins_FK=0,Fremdkapital*(1-$A43/Laufzeit_FK),MAX(0,Fremdkapital*(1+Zins_FK)^$A43-KD_FK_Jahr*((1+Zins_FK)^$A43-1)/Zins_FK)))),"")</f>
        <v>4913.98114826743</v>
      </c>
      <c r="R43" s="58" t="n">
        <f aca="false">IF($B43=1,1/(1+Diskontsatz)^$A43,"")</f>
        <v>0.216620606449459</v>
      </c>
      <c r="S43" s="56" t="n">
        <f aca="false">IF($B43=1,K43*R43,"")</f>
        <v>67.8281589297969</v>
      </c>
      <c r="T43" s="18" t="n">
        <f aca="false">IF($B43=1,IF(K43&gt;0,$A43,""),"")</f>
        <v>39</v>
      </c>
    </row>
    <row r="44" customFormat="false" ht="15" hidden="false" customHeight="false" outlineLevel="0" collapsed="false">
      <c r="A44" s="18" t="n">
        <f aca="false">A43+1</f>
        <v>40</v>
      </c>
      <c r="B44" s="18"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6" t="n">
        <f aca="false">IF($B44=1,J44-G44,"")</f>
        <v>322.985194508116</v>
      </c>
      <c r="L44" s="57" t="n">
        <f aca="false">IF($B44=1,K44*1000000/Flaeche/12,"")</f>
        <v>1.83848585216369</v>
      </c>
      <c r="M44" s="15" t="n">
        <f aca="false">IF($B44=1,K44*1000000/Wohnungen/12,"")</f>
        <v>112.147636981985</v>
      </c>
      <c r="N44" s="15" t="n">
        <f aca="false">IF($B44=1,N43+K44,"")</f>
        <v>8153.06298801297</v>
      </c>
      <c r="O44" s="56" t="n">
        <f aca="false">IF($B44=1,G44-I44,"")</f>
        <v>-197.299653294354</v>
      </c>
      <c r="P44" s="19" t="n">
        <f aca="false">IF($B44=1,IF(Nur_Zinsen=1,Eigenkapital,IF($A44&gt;=Laufzeit_EK,0,IF(Zins_EK=0,Eigenkapital*(1-$A44/Laufzeit_EK),MAX(0,Eigenkapital*(1+Zins_EK)^$A44-KD_EK_Jahr*((1+Zins_EK)^$A44-1)/Zins_EK)))),"")</f>
        <v>1019.42232575666</v>
      </c>
      <c r="Q44" s="19" t="n">
        <f aca="false">IF($B44=1,IF(Nur_Zinsen=1,Fremdkapital,IF($A44&gt;=Laufzeit_FK,0,IF(Zins_FK=0,Fremdkapital*(1-$A44/Laufzeit_FK),MAX(0,Fremdkapital*(1+Zins_FK)^$A44-KD_FK_Jahr*((1+Zins_FK)^$A44-1)/Zins_FK)))),"")</f>
        <v>4568.09146243484</v>
      </c>
      <c r="R44" s="58" t="n">
        <f aca="false">IF($B44=1,1/(1+Diskontsatz)^$A44,"")</f>
        <v>0.208289044662941</v>
      </c>
      <c r="S44" s="56" t="n">
        <f aca="false">IF($B44=1,K44*R44,"")</f>
        <v>67.2742776043698</v>
      </c>
      <c r="T44" s="18" t="n">
        <f aca="false">IF($B44=1,IF(K44&gt;0,$A44,""),"")</f>
        <v>40</v>
      </c>
    </row>
    <row r="45" customFormat="false" ht="15" hidden="false" customHeight="false" outlineLevel="0" collapsed="false">
      <c r="A45" s="18" t="n">
        <f aca="false">A44+1</f>
        <v>41</v>
      </c>
      <c r="B45" s="18"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6" t="n">
        <f aca="false">IF($B45=1,J45-G45,"")</f>
        <v>333.227581669653</v>
      </c>
      <c r="L45" s="57" t="n">
        <f aca="false">IF($B45=1,K45*1000000/Flaeche/12,"")</f>
        <v>1.8967872362799</v>
      </c>
      <c r="M45" s="15" t="n">
        <f aca="false">IF($B45=1,K45*1000000/Wohnungen/12,"")</f>
        <v>115.704021413074</v>
      </c>
      <c r="N45" s="15" t="n">
        <f aca="false">IF($B45=1,N44+K45,"")</f>
        <v>8486.29056968262</v>
      </c>
      <c r="O45" s="56" t="n">
        <f aca="false">IF($B45=1,G45-I45,"")</f>
        <v>-207.542040455891</v>
      </c>
      <c r="P45" s="19" t="n">
        <f aca="false">IF($B45=1,IF(Nur_Zinsen=1,Eigenkapital,IF($A45&gt;=Laufzeit_EK,0,IF(Zins_EK=0,Eigenkapital*(1-$A45/Laufzeit_EK),MAX(0,Eigenkapital*(1+Zins_EK)^$A45-KD_EK_Jahr*((1+Zins_EK)^$A45-1)/Zins_EK)))),"")</f>
        <v>934.513677573161</v>
      </c>
      <c r="Q45" s="19" t="n">
        <f aca="false">IF($B45=1,IF(Nur_Zinsen=1,Fremdkapital,IF($A45&gt;=Laufzeit_FK,0,IF(Zins_FK=0,Fremdkapital*(1-$A45/Laufzeit_FK),MAX(0,Fremdkapital*(1+Zins_FK)^$A45-KD_FK_Jahr*((1+Zins_FK)^$A45-1)/Zins_FK)))),"")</f>
        <v>4204.90729231063</v>
      </c>
      <c r="R45" s="58" t="n">
        <f aca="false">IF($B45=1,1/(1+Diskontsatz)^$A45,"")</f>
        <v>0.20027792756052</v>
      </c>
      <c r="S45" s="56" t="n">
        <f aca="false">IF($B45=1,K45*R45,"")</f>
        <v>66.7381294628022</v>
      </c>
      <c r="T45" s="18" t="n">
        <f aca="false">IF($B45=1,IF(K45&gt;0,$A45,""),"")</f>
        <v>41</v>
      </c>
    </row>
    <row r="46" customFormat="false" ht="15" hidden="false" customHeight="false" outlineLevel="0" collapsed="false">
      <c r="A46" s="18" t="n">
        <f aca="false">A45+1</f>
        <v>42</v>
      </c>
      <c r="B46" s="18"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6" t="n">
        <f aca="false">IF($B46=1,J46-G46,"")</f>
        <v>343.856098264027</v>
      </c>
      <c r="L46" s="57" t="n">
        <f aca="false">IF($B46=1,K46*1000000/Flaeche/12,"")</f>
        <v>1.9572865338344</v>
      </c>
      <c r="M46" s="15" t="n">
        <f aca="false">IF($B46=1,K46*1000000/Wohnungen/12,"")</f>
        <v>119.394478563898</v>
      </c>
      <c r="N46" s="15" t="n">
        <f aca="false">IF($B46=1,N45+K46,"")</f>
        <v>8830.14666794665</v>
      </c>
      <c r="O46" s="56" t="n">
        <f aca="false">IF($B46=1,G46-I46,"")</f>
        <v>-218.170557050265</v>
      </c>
      <c r="P46" s="19" t="n">
        <f aca="false">IF($B46=1,IF(Nur_Zinsen=1,Eigenkapital,IF($A46&gt;=Laufzeit_EK,0,IF(Zins_EK=0,Eigenkapital*(1-$A46/Laufzeit_EK),MAX(0,Eigenkapital*(1+Zins_EK)^$A46-KD_EK_Jahr*((1+Zins_EK)^$A46-1)/Zins_EK)))),"")</f>
        <v>846.208683462324</v>
      </c>
      <c r="Q46" s="19" t="n">
        <f aca="false">IF($B46=1,IF(Nur_Zinsen=1,Fremdkapital,IF($A46&gt;=Laufzeit_FK,0,IF(Zins_FK=0,Fremdkapital*(1-$A46/Laufzeit_FK),MAX(0,Fremdkapital*(1+Zins_FK)^$A46-KD_FK_Jahr*((1+Zins_FK)^$A46-1)/Zins_FK)))),"")</f>
        <v>3823.56391368019</v>
      </c>
      <c r="R46" s="58" t="n">
        <f aca="false">IF($B46=1,1/(1+Diskontsatz)^$A46,"")</f>
        <v>0.192574930346654</v>
      </c>
      <c r="S46" s="56" t="n">
        <f aca="false">IF($B46=1,K46*R46,"")</f>
        <v>66.2180641724673</v>
      </c>
      <c r="T46" s="18" t="n">
        <f aca="false">IF($B46=1,IF(K46&gt;0,$A46,""),"")</f>
        <v>42</v>
      </c>
    </row>
    <row r="47" customFormat="false" ht="15" hidden="false" customHeight="false" outlineLevel="0" collapsed="false">
      <c r="A47" s="18" t="n">
        <f aca="false">A46+1</f>
        <v>43</v>
      </c>
      <c r="B47" s="18"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6" t="n">
        <f aca="false">IF($B47=1,J47-G47,"")</f>
        <v>354.880279696789</v>
      </c>
      <c r="L47" s="57" t="n">
        <f aca="false">IF($B47=1,K47*1000000/Flaeche/12,"")</f>
        <v>2.02003802195349</v>
      </c>
      <c r="M47" s="15" t="n">
        <f aca="false">IF($B47=1,K47*1000000/Wohnungen/12,"")</f>
        <v>123.222319339163</v>
      </c>
      <c r="N47" s="15" t="n">
        <f aca="false">IF($B47=1,N46+K47,"")</f>
        <v>9185.02694764344</v>
      </c>
      <c r="O47" s="56" t="n">
        <f aca="false">IF($B47=1,G47-I47,"")</f>
        <v>-229.194738483027</v>
      </c>
      <c r="P47" s="19" t="n">
        <f aca="false">IF($B47=1,IF(Nur_Zinsen=1,Eigenkapital,IF($A47&gt;=Laufzeit_EK,0,IF(Zins_EK=0,Eigenkapital*(1-$A47/Laufzeit_EK),MAX(0,Eigenkapital*(1+Zins_EK)^$A47-KD_EK_Jahr*((1+Zins_EK)^$A47-1)/Zins_EK)))),"")</f>
        <v>754.371489587056</v>
      </c>
      <c r="Q47" s="19" t="n">
        <f aca="false">IF($B47=1,IF(Nur_Zinsen=1,Fremdkapital,IF($A47&gt;=Laufzeit_FK,0,IF(Zins_FK=0,Fremdkapital*(1-$A47/Laufzeit_FK),MAX(0,Fremdkapital*(1+Zins_FK)^$A47-KD_FK_Jahr*((1+Zins_FK)^$A47-1)/Zins_FK)))),"")</f>
        <v>3423.15336611826</v>
      </c>
      <c r="R47" s="58" t="n">
        <f aca="false">IF($B47=1,1/(1+Diskontsatz)^$A47,"")</f>
        <v>0.185168202256398</v>
      </c>
      <c r="S47" s="56" t="n">
        <f aca="false">IF($B47=1,K47*R47,"")</f>
        <v>65.7125434077022</v>
      </c>
      <c r="T47" s="18" t="n">
        <f aca="false">IF($B47=1,IF(K47&gt;0,$A47,""),"")</f>
        <v>43</v>
      </c>
    </row>
    <row r="48" customFormat="false" ht="15" hidden="false" customHeight="false" outlineLevel="0" collapsed="false">
      <c r="A48" s="18" t="n">
        <f aca="false">A47+1</f>
        <v>44</v>
      </c>
      <c r="B48" s="18"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6" t="n">
        <f aca="false">IF($B48=1,J48-G48,"")</f>
        <v>366.309870209774</v>
      </c>
      <c r="L48" s="57" t="n">
        <f aca="false">IF($B48=1,K48*1000000/Flaeche/12,"")</f>
        <v>2.08509716649462</v>
      </c>
      <c r="M48" s="15" t="n">
        <f aca="false">IF($B48=1,K48*1000000/Wohnungen/12,"")</f>
        <v>127.190927156172</v>
      </c>
      <c r="N48" s="15" t="n">
        <f aca="false">IF($B48=1,N47+K48,"")</f>
        <v>9551.33681785321</v>
      </c>
      <c r="O48" s="56" t="n">
        <f aca="false">IF($B48=1,G48-I48,"")</f>
        <v>-240.624328996012</v>
      </c>
      <c r="P48" s="19" t="n">
        <f aca="false">IF($B48=1,IF(Nur_Zinsen=1,Eigenkapital,IF($A48&gt;=Laufzeit_EK,0,IF(Zins_EK=0,Eigenkapital*(1-$A48/Laufzeit_EK),MAX(0,Eigenkapital*(1+Zins_EK)^$A48-KD_EK_Jahr*((1+Zins_EK)^$A48-1)/Zins_EK)))),"")</f>
        <v>658.860807956777</v>
      </c>
      <c r="Q48" s="19" t="n">
        <f aca="false">IF($B48=1,IF(Nur_Zinsen=1,Fremdkapital,IF($A48&gt;=Laufzeit_FK,0,IF(Zins_FK=0,Fremdkapital*(1-$A48/Laufzeit_FK),MAX(0,Fremdkapital*(1+Zins_FK)^$A48-KD_FK_Jahr*((1+Zins_FK)^$A48-1)/Zins_FK)))),"")</f>
        <v>3002.72229117822</v>
      </c>
      <c r="R48" s="58" t="n">
        <f aca="false">IF($B48=1,1/(1+Diskontsatz)^$A48,"")</f>
        <v>0.17804634832346</v>
      </c>
      <c r="S48" s="56" t="n">
        <f aca="false">IF($B48=1,K48*R48,"")</f>
        <v>65.2201347456908</v>
      </c>
      <c r="T48" s="18" t="n">
        <f aca="false">IF($B48=1,IF(K48&gt;0,$A48,""),"")</f>
        <v>44</v>
      </c>
    </row>
    <row r="49" customFormat="false" ht="15" hidden="false" customHeight="false" outlineLevel="0" collapsed="false">
      <c r="A49" s="18" t="n">
        <f aca="false">A48+1</f>
        <v>45</v>
      </c>
      <c r="B49" s="18"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6" t="n">
        <f aca="false">IF($B49=1,J49-G49,"")</f>
        <v>378.1548272391</v>
      </c>
      <c r="L49" s="57" t="n">
        <f aca="false">IF($B49=1,K49*1000000/Flaeche/12,"")</f>
        <v>2.1525206468528</v>
      </c>
      <c r="M49" s="15" t="n">
        <f aca="false">IF($B49=1,K49*1000000/Wohnungen/12,"")</f>
        <v>131.303759458021</v>
      </c>
      <c r="N49" s="15" t="n">
        <f aca="false">IF($B49=1,N48+K49,"")</f>
        <v>9929.49164509231</v>
      </c>
      <c r="O49" s="56" t="n">
        <f aca="false">IF($B49=1,G49-I49,"")</f>
        <v>-252.469286025338</v>
      </c>
      <c r="P49" s="19" t="n">
        <f aca="false">IF($B49=1,IF(Nur_Zinsen=1,Eigenkapital,IF($A49&gt;=Laufzeit_EK,0,IF(Zins_EK=0,Eigenkapital*(1-$A49/Laufzeit_EK),MAX(0,Eigenkapital*(1+Zins_EK)^$A49-KD_EK_Jahr*((1+Zins_EK)^$A49-1)/Zins_EK)))),"")</f>
        <v>559.529699061284</v>
      </c>
      <c r="Q49" s="19" t="n">
        <f aca="false">IF($B49=1,IF(Nur_Zinsen=1,Fremdkapital,IF($A49&gt;=Laufzeit_FK,0,IF(Zins_FK=0,Fremdkapital*(1-$A49/Laufzeit_FK),MAX(0,Fremdkapital*(1+Zins_FK)^$A49-KD_FK_Jahr*((1+Zins_FK)^$A49-1)/Zins_FK)))),"")</f>
        <v>2561.26966249116</v>
      </c>
      <c r="R49" s="58" t="n">
        <f aca="false">IF($B49=1,1/(1+Diskontsatz)^$A49,"")</f>
        <v>0.171198411849481</v>
      </c>
      <c r="S49" s="56" t="n">
        <f aca="false">IF($B49=1,K49*R49,"")</f>
        <v>64.7395058565486</v>
      </c>
      <c r="T49" s="18" t="n">
        <f aca="false">IF($B49=1,IF(K49&gt;0,$A49,""),"")</f>
        <v>45</v>
      </c>
    </row>
    <row r="50" customFormat="false" ht="15" hidden="false" customHeight="false" outlineLevel="0" collapsed="false">
      <c r="A50" s="18" t="n">
        <f aca="false">A49+1</f>
        <v>46</v>
      </c>
      <c r="B50" s="18"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6" t="n">
        <f aca="false">IF($B50=1,J50-G50,"")</f>
        <v>390.425325862157</v>
      </c>
      <c r="L50" s="57" t="n">
        <f aca="false">IF($B50=1,K50*1000000/Flaeche/12,"")</f>
        <v>2.22236638127366</v>
      </c>
      <c r="M50" s="15" t="n">
        <f aca="false">IF($B50=1,K50*1000000/Wohnungen/12,"")</f>
        <v>135.564349257693</v>
      </c>
      <c r="N50" s="15" t="n">
        <f aca="false">IF($B50=1,N49+K50,"")</f>
        <v>10319.9169709545</v>
      </c>
      <c r="O50" s="56" t="n">
        <f aca="false">IF($B50=1,G50-I50,"")</f>
        <v>-264.739784648395</v>
      </c>
      <c r="P50" s="19" t="n">
        <f aca="false">IF($B50=1,IF(Nur_Zinsen=1,Eigenkapital,IF($A50&gt;=Laufzeit_EK,0,IF(Zins_EK=0,Eigenkapital*(1-$A50/Laufzeit_EK),MAX(0,Eigenkapital*(1+Zins_EK)^$A50-KD_EK_Jahr*((1+Zins_EK)^$A50-1)/Zins_EK)))),"")</f>
        <v>456.225345809975</v>
      </c>
      <c r="Q50" s="19" t="n">
        <f aca="false">IF($B50=1,IF(Nur_Zinsen=1,Fremdkapital,IF($A50&gt;=Laufzeit_FK,0,IF(Zins_FK=0,Fremdkapital*(1-$A50/Laufzeit_FK),MAX(0,Fremdkapital*(1+Zins_FK)^$A50-KD_FK_Jahr*((1+Zins_FK)^$A50-1)/Zins_FK)))),"")</f>
        <v>2097.74440236976</v>
      </c>
      <c r="R50" s="58" t="n">
        <f aca="false">IF($B50=1,1/(1+Diskontsatz)^$A50,"")</f>
        <v>0.164613857547577</v>
      </c>
      <c r="S50" s="56" t="n">
        <f aca="false">IF($B50=1,K50*R50,"")</f>
        <v>64.2694189744396</v>
      </c>
      <c r="T50" s="18" t="n">
        <f aca="false">IF($B50=1,IF(K50&gt;0,$A50,""),"")</f>
        <v>46</v>
      </c>
    </row>
    <row r="51" customFormat="false" ht="15" hidden="false" customHeight="false" outlineLevel="0" collapsed="false">
      <c r="A51" s="18" t="n">
        <f aca="false">A50+1</f>
        <v>47</v>
      </c>
      <c r="B51" s="18"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6" t="n">
        <f aca="false">IF($B51=1,J51-G51,"")</f>
        <v>403.131763335349</v>
      </c>
      <c r="L51" s="57" t="n">
        <f aca="false">IF($B51=1,K51*1000000/Flaeche/12,"")</f>
        <v>2.294693552683</v>
      </c>
      <c r="M51" s="15" t="n">
        <f aca="false">IF($B51=1,K51*1000000/Wohnungen/12,"")</f>
        <v>139.976306713663</v>
      </c>
      <c r="N51" s="15" t="n">
        <f aca="false">IF($B51=1,N50+K51,"")</f>
        <v>10723.0487342898</v>
      </c>
      <c r="O51" s="56" t="n">
        <f aca="false">IF($B51=1,G51-I51,"")</f>
        <v>-277.446222121587</v>
      </c>
      <c r="P51" s="19" t="n">
        <f aca="false">IF($B51=1,IF(Nur_Zinsen=1,Eigenkapital,IF($A51&gt;=Laufzeit_EK,0,IF(Zins_EK=0,Eigenkapital*(1-$A51/Laufzeit_EK),MAX(0,Eigenkapital*(1+Zins_EK)^$A51-KD_EK_Jahr*((1+Zins_EK)^$A51-1)/Zins_EK)))),"")</f>
        <v>348.788818428613</v>
      </c>
      <c r="Q51" s="19" t="n">
        <f aca="false">IF($B51=1,IF(Nur_Zinsen=1,Fremdkapital,IF($A51&gt;=Laufzeit_FK,0,IF(Zins_FK=0,Fremdkapital*(1-$A51/Laufzeit_FK),MAX(0,Fremdkapital*(1+Zins_FK)^$A51-KD_FK_Jahr*((1+Zins_FK)^$A51-1)/Zins_FK)))),"")</f>
        <v>1611.04287924232</v>
      </c>
      <c r="R51" s="58" t="n">
        <f aca="false">IF($B51=1,1/(1+Diskontsatz)^$A51,"")</f>
        <v>0.158282555334209</v>
      </c>
      <c r="S51" s="56" t="n">
        <f aca="false">IF($B51=1,K51*R51,"")</f>
        <v>63.8087256371047</v>
      </c>
      <c r="T51" s="18" t="n">
        <f aca="false">IF($B51=1,IF(K51&gt;0,$A51,""),"")</f>
        <v>47</v>
      </c>
    </row>
    <row r="52" customFormat="false" ht="15" hidden="false" customHeight="false" outlineLevel="0" collapsed="false">
      <c r="A52" s="18" t="n">
        <f aca="false">A51+1</f>
        <v>48</v>
      </c>
      <c r="B52" s="18"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6" t="n">
        <f aca="false">IF($B52=1,J52-G52,"")</f>
        <v>416.284763724456</v>
      </c>
      <c r="L52" s="57" t="n">
        <f aca="false">IF($B52=1,K52*1000000/Flaeche/12,"")</f>
        <v>2.36956263504358</v>
      </c>
      <c r="M52" s="15" t="n">
        <f aca="false">IF($B52=1,K52*1000000/Wohnungen/12,"")</f>
        <v>144.543320737658</v>
      </c>
      <c r="N52" s="15" t="n">
        <f aca="false">IF($B52=1,N51+K52,"")</f>
        <v>11139.3334980143</v>
      </c>
      <c r="O52" s="56" t="n">
        <f aca="false">IF($B52=1,G52-I52,"")</f>
        <v>-290.599222510694</v>
      </c>
      <c r="P52" s="19" t="n">
        <f aca="false">IF($B52=1,IF(Nur_Zinsen=1,Eigenkapital,IF($A52&gt;=Laufzeit_EK,0,IF(Zins_EK=0,Eigenkapital*(1-$A52/Laufzeit_EK),MAX(0,Eigenkapital*(1+Zins_EK)^$A52-KD_EK_Jahr*((1+Zins_EK)^$A52-1)/Zins_EK)))),"")</f>
        <v>237.054829951994</v>
      </c>
      <c r="Q52" s="19" t="n">
        <f aca="false">IF($B52=1,IF(Nur_Zinsen=1,Fremdkapital,IF($A52&gt;=Laufzeit_FK,0,IF(Zins_FK=0,Fremdkapital*(1-$A52/Laufzeit_FK),MAX(0,Fremdkapital*(1+Zins_FK)^$A52-KD_FK_Jahr*((1+Zins_FK)^$A52-1)/Zins_FK)))),"")</f>
        <v>1100.00627995846</v>
      </c>
      <c r="R52" s="58" t="n">
        <f aca="false">IF($B52=1,1/(1+Diskontsatz)^$A52,"")</f>
        <v>0.152194764744432</v>
      </c>
      <c r="S52" s="56" t="n">
        <f aca="false">IF($B52=1,K52*R52,"")</f>
        <v>63.3563616817349</v>
      </c>
      <c r="T52" s="18" t="n">
        <f aca="false">IF($B52=1,IF(K52&gt;0,$A52,""),"")</f>
        <v>48</v>
      </c>
    </row>
    <row r="53" customFormat="false" ht="15" hidden="false" customHeight="false" outlineLevel="0" collapsed="false">
      <c r="A53" s="18" t="n">
        <f aca="false">A52+1</f>
        <v>49</v>
      </c>
      <c r="B53" s="18"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6" t="n">
        <f aca="false">IF($B53=1,J53-G53,"")</f>
        <v>429.895182629462</v>
      </c>
      <c r="L53" s="57" t="n">
        <f aca="false">IF($B53=1,K53*1000000/Flaeche/12,"")</f>
        <v>2.44703542024967</v>
      </c>
      <c r="M53" s="15" t="n">
        <f aca="false">IF($B53=1,K53*1000000/Wohnungen/12,"")</f>
        <v>149.26916063523</v>
      </c>
      <c r="N53" s="15" t="n">
        <f aca="false">IF($B53=1,N52+K53,"")</f>
        <v>11569.2286806437</v>
      </c>
      <c r="O53" s="56" t="n">
        <f aca="false">IF($B53=1,G53-I53,"")</f>
        <v>-304.2096414157</v>
      </c>
      <c r="P53" s="19" t="n">
        <f aca="false">IF($B53=1,IF(Nur_Zinsen=1,Eigenkapital,IF($A53&gt;=Laufzeit_EK,0,IF(Zins_EK=0,Eigenkapital*(1-$A53/Laufzeit_EK),MAX(0,Eigenkapital*(1+Zins_EK)^$A53-KD_EK_Jahr*((1+Zins_EK)^$A53-1)/Zins_EK)))),"")</f>
        <v>120.851481936312</v>
      </c>
      <c r="Q53" s="19" t="n">
        <f aca="false">IF($B53=1,IF(Nur_Zinsen=1,Fremdkapital,IF($A53&gt;=Laufzeit_FK,0,IF(Zins_FK=0,Fremdkapital*(1-$A53/Laufzeit_FK),MAX(0,Fremdkapital*(1+Zins_FK)^$A53-KD_FK_Jahr*((1+Zins_FK)^$A53-1)/Zins_FK)))),"")</f>
        <v>563.417850710423</v>
      </c>
      <c r="R53" s="58" t="n">
        <f aca="false">IF($B53=1,1/(1+Diskontsatz)^$A53,"")</f>
        <v>0.146341119946569</v>
      </c>
      <c r="S53" s="56" t="n">
        <f aca="false">IF($B53=1,K53*R53,"")</f>
        <v>62.9113424856304</v>
      </c>
      <c r="T53" s="18" t="n">
        <f aca="false">IF($B53=1,IF(K53&gt;0,$A53,""),"")</f>
        <v>49</v>
      </c>
    </row>
    <row r="54" customFormat="false" ht="15" hidden="false" customHeight="false" outlineLevel="0" collapsed="false">
      <c r="A54" s="18" t="n">
        <f aca="false">A53+1</f>
        <v>50</v>
      </c>
      <c r="B54" s="18"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6" t="n">
        <f aca="false">IF($B54=1,J54-G54,"")</f>
        <v>443.974112005765</v>
      </c>
      <c r="L54" s="57" t="n">
        <f aca="false">IF($B54=1,K54*1000000/Flaeche/12,"")</f>
        <v>2.52717504557015</v>
      </c>
      <c r="M54" s="15" t="n">
        <f aca="false">IF($B54=1,K54*1000000/Wohnungen/12,"")</f>
        <v>154.157677779779</v>
      </c>
      <c r="N54" s="15" t="n">
        <f aca="false">IF($B54=1,N53+K54,"")</f>
        <v>12013.2027926495</v>
      </c>
      <c r="O54" s="56" t="n">
        <f aca="false">IF($B54=1,G54-I54,"")</f>
        <v>-318.288570792003</v>
      </c>
      <c r="P54" s="19" t="n">
        <f aca="false">IF($B54=1,IF(Nur_Zinsen=1,Eigenkapital,IF($A54&gt;=Laufzeit_EK,0,IF(Zins_EK=0,Eigenkapital*(1-$A54/Laufzeit_EK),MAX(0,Eigenkapital*(1+Zins_EK)^$A54-KD_EK_Jahr*((1+Zins_EK)^$A54-1)/Zins_EK)))),"")</f>
        <v>0</v>
      </c>
      <c r="Q54" s="19" t="n">
        <f aca="false">IF($B54=1,IF(Nur_Zinsen=1,Fremdkapital,IF($A54&gt;=Laufzeit_FK,0,IF(Zins_FK=0,Fremdkapital*(1-$A54/Laufzeit_FK),MAX(0,Fremdkapital*(1+Zins_FK)^$A54-KD_FK_Jahr*((1+Zins_FK)^$A54-1)/Zins_FK)))),"")</f>
        <v>0</v>
      </c>
      <c r="R54" s="58" t="n">
        <f aca="false">IF($B54=1,1/(1+Diskontsatz)^$A54,"")</f>
        <v>0.140712615333239</v>
      </c>
      <c r="S54" s="56" t="n">
        <f aca="false">IF($B54=1,K54*R54,"")</f>
        <v>62.4727584405837</v>
      </c>
      <c r="T54" s="18" t="n">
        <f aca="false">IF($B54=1,IF(K54&gt;0,$A54,""),"")</f>
        <v>50</v>
      </c>
    </row>
    <row r="55" customFormat="false" ht="15" hidden="false" customHeight="false" outlineLevel="0" collapsed="false">
      <c r="A55" s="18" t="n">
        <f aca="false">A54+1</f>
        <v>51</v>
      </c>
      <c r="B55" s="18"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6" t="str">
        <f aca="false">IF($B55=1,J55-G55,"")</f>
        <v/>
      </c>
      <c r="L55" s="57" t="str">
        <f aca="false">IF($B55=1,K55*1000000/Flaeche/12,"")</f>
        <v/>
      </c>
      <c r="M55" s="15" t="str">
        <f aca="false">IF($B55=1,K55*1000000/Wohnungen/12,"")</f>
        <v/>
      </c>
      <c r="N55" s="15" t="str">
        <f aca="false">IF($B55=1,N54+K55,"")</f>
        <v/>
      </c>
      <c r="O55" s="56" t="str">
        <f aca="false">IF($B55=1,G55-I55,"")</f>
        <v/>
      </c>
      <c r="P55" s="19" t="str">
        <f aca="false">IF($B55=1,IF(Nur_Zinsen=1,Eigenkapital,IF($A55&gt;=Laufzeit_EK,0,IF(Zins_EK=0,Eigenkapital*(1-$A55/Laufzeit_EK),MAX(0,Eigenkapital*(1+Zins_EK)^$A55-KD_EK_Jahr*((1+Zins_EK)^$A55-1)/Zins_EK)))),"")</f>
        <v/>
      </c>
      <c r="Q55" s="19" t="str">
        <f aca="false">IF($B55=1,IF(Nur_Zinsen=1,Fremdkapital,IF($A55&gt;=Laufzeit_FK,0,IF(Zins_FK=0,Fremdkapital*(1-$A55/Laufzeit_FK),MAX(0,Fremdkapital*(1+Zins_FK)^$A55-KD_FK_Jahr*((1+Zins_FK)^$A55-1)/Zins_FK)))),"")</f>
        <v/>
      </c>
      <c r="R55" s="58" t="str">
        <f aca="false">IF($B55=1,1/(1+Diskontsatz)^$A55,"")</f>
        <v/>
      </c>
      <c r="S55" s="56" t="str">
        <f aca="false">IF($B55=1,K55*R55,"")</f>
        <v/>
      </c>
      <c r="T55" s="18" t="str">
        <f aca="false">IF($B55=1,IF(K55&gt;0,$A55,""),"")</f>
        <v/>
      </c>
    </row>
    <row r="56" customFormat="false" ht="15" hidden="false" customHeight="false" outlineLevel="0" collapsed="false">
      <c r="A56" s="18" t="n">
        <f aca="false">A55+1</f>
        <v>52</v>
      </c>
      <c r="B56" s="18"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6" t="str">
        <f aca="false">IF($B56=1,J56-G56,"")</f>
        <v/>
      </c>
      <c r="L56" s="57" t="str">
        <f aca="false">IF($B56=1,K56*1000000/Flaeche/12,"")</f>
        <v/>
      </c>
      <c r="M56" s="15" t="str">
        <f aca="false">IF($B56=1,K56*1000000/Wohnungen/12,"")</f>
        <v/>
      </c>
      <c r="N56" s="15" t="str">
        <f aca="false">IF($B56=1,N55+K56,"")</f>
        <v/>
      </c>
      <c r="O56" s="56" t="str">
        <f aca="false">IF($B56=1,G56-I56,"")</f>
        <v/>
      </c>
      <c r="P56" s="19" t="str">
        <f aca="false">IF($B56=1,IF(Nur_Zinsen=1,Eigenkapital,IF($A56&gt;=Laufzeit_EK,0,IF(Zins_EK=0,Eigenkapital*(1-$A56/Laufzeit_EK),MAX(0,Eigenkapital*(1+Zins_EK)^$A56-KD_EK_Jahr*((1+Zins_EK)^$A56-1)/Zins_EK)))),"")</f>
        <v/>
      </c>
      <c r="Q56" s="19" t="str">
        <f aca="false">IF($B56=1,IF(Nur_Zinsen=1,Fremdkapital,IF($A56&gt;=Laufzeit_FK,0,IF(Zins_FK=0,Fremdkapital*(1-$A56/Laufzeit_FK),MAX(0,Fremdkapital*(1+Zins_FK)^$A56-KD_FK_Jahr*((1+Zins_FK)^$A56-1)/Zins_FK)))),"")</f>
        <v/>
      </c>
      <c r="R56" s="58" t="str">
        <f aca="false">IF($B56=1,1/(1+Diskontsatz)^$A56,"")</f>
        <v/>
      </c>
      <c r="S56" s="56" t="str">
        <f aca="false">IF($B56=1,K56*R56,"")</f>
        <v/>
      </c>
      <c r="T56" s="18" t="str">
        <f aca="false">IF($B56=1,IF(K56&gt;0,$A56,""),"")</f>
        <v/>
      </c>
    </row>
    <row r="57" customFormat="false" ht="15" hidden="false" customHeight="false" outlineLevel="0" collapsed="false">
      <c r="A57" s="18" t="n">
        <f aca="false">A56+1</f>
        <v>53</v>
      </c>
      <c r="B57" s="18"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6" t="str">
        <f aca="false">IF($B57=1,J57-G57,"")</f>
        <v/>
      </c>
      <c r="L57" s="57" t="str">
        <f aca="false">IF($B57=1,K57*1000000/Flaeche/12,"")</f>
        <v/>
      </c>
      <c r="M57" s="15" t="str">
        <f aca="false">IF($B57=1,K57*1000000/Wohnungen/12,"")</f>
        <v/>
      </c>
      <c r="N57" s="15" t="str">
        <f aca="false">IF($B57=1,N56+K57,"")</f>
        <v/>
      </c>
      <c r="O57" s="56" t="str">
        <f aca="false">IF($B57=1,G57-I57,"")</f>
        <v/>
      </c>
      <c r="P57" s="19" t="str">
        <f aca="false">IF($B57=1,IF(Nur_Zinsen=1,Eigenkapital,IF($A57&gt;=Laufzeit_EK,0,IF(Zins_EK=0,Eigenkapital*(1-$A57/Laufzeit_EK),MAX(0,Eigenkapital*(1+Zins_EK)^$A57-KD_EK_Jahr*((1+Zins_EK)^$A57-1)/Zins_EK)))),"")</f>
        <v/>
      </c>
      <c r="Q57" s="19" t="str">
        <f aca="false">IF($B57=1,IF(Nur_Zinsen=1,Fremdkapital,IF($A57&gt;=Laufzeit_FK,0,IF(Zins_FK=0,Fremdkapital*(1-$A57/Laufzeit_FK),MAX(0,Fremdkapital*(1+Zins_FK)^$A57-KD_FK_Jahr*((1+Zins_FK)^$A57-1)/Zins_FK)))),"")</f>
        <v/>
      </c>
      <c r="R57" s="58" t="str">
        <f aca="false">IF($B57=1,1/(1+Diskontsatz)^$A57,"")</f>
        <v/>
      </c>
      <c r="S57" s="56" t="str">
        <f aca="false">IF($B57=1,K57*R57,"")</f>
        <v/>
      </c>
      <c r="T57" s="18" t="str">
        <f aca="false">IF($B57=1,IF(K57&gt;0,$A57,""),"")</f>
        <v/>
      </c>
    </row>
    <row r="58" customFormat="false" ht="15" hidden="false" customHeight="false" outlineLevel="0" collapsed="false">
      <c r="A58" s="18" t="n">
        <f aca="false">A57+1</f>
        <v>54</v>
      </c>
      <c r="B58" s="18"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6" t="str">
        <f aca="false">IF($B58=1,J58-G58,"")</f>
        <v/>
      </c>
      <c r="L58" s="57" t="str">
        <f aca="false">IF($B58=1,K58*1000000/Flaeche/12,"")</f>
        <v/>
      </c>
      <c r="M58" s="15" t="str">
        <f aca="false">IF($B58=1,K58*1000000/Wohnungen/12,"")</f>
        <v/>
      </c>
      <c r="N58" s="15" t="str">
        <f aca="false">IF($B58=1,N57+K58,"")</f>
        <v/>
      </c>
      <c r="O58" s="56" t="str">
        <f aca="false">IF($B58=1,G58-I58,"")</f>
        <v/>
      </c>
      <c r="P58" s="19" t="str">
        <f aca="false">IF($B58=1,IF(Nur_Zinsen=1,Eigenkapital,IF($A58&gt;=Laufzeit_EK,0,IF(Zins_EK=0,Eigenkapital*(1-$A58/Laufzeit_EK),MAX(0,Eigenkapital*(1+Zins_EK)^$A58-KD_EK_Jahr*((1+Zins_EK)^$A58-1)/Zins_EK)))),"")</f>
        <v/>
      </c>
      <c r="Q58" s="19" t="str">
        <f aca="false">IF($B58=1,IF(Nur_Zinsen=1,Fremdkapital,IF($A58&gt;=Laufzeit_FK,0,IF(Zins_FK=0,Fremdkapital*(1-$A58/Laufzeit_FK),MAX(0,Fremdkapital*(1+Zins_FK)^$A58-KD_FK_Jahr*((1+Zins_FK)^$A58-1)/Zins_FK)))),"")</f>
        <v/>
      </c>
      <c r="R58" s="58" t="str">
        <f aca="false">IF($B58=1,1/(1+Diskontsatz)^$A58,"")</f>
        <v/>
      </c>
      <c r="S58" s="56" t="str">
        <f aca="false">IF($B58=1,K58*R58,"")</f>
        <v/>
      </c>
      <c r="T58" s="18" t="str">
        <f aca="false">IF($B58=1,IF(K58&gt;0,$A58,""),"")</f>
        <v/>
      </c>
    </row>
    <row r="59" customFormat="false" ht="15" hidden="false" customHeight="false" outlineLevel="0" collapsed="false">
      <c r="A59" s="18" t="n">
        <f aca="false">A58+1</f>
        <v>55</v>
      </c>
      <c r="B59" s="18"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6" t="str">
        <f aca="false">IF($B59=1,J59-G59,"")</f>
        <v/>
      </c>
      <c r="L59" s="57" t="str">
        <f aca="false">IF($B59=1,K59*1000000/Flaeche/12,"")</f>
        <v/>
      </c>
      <c r="M59" s="15" t="str">
        <f aca="false">IF($B59=1,K59*1000000/Wohnungen/12,"")</f>
        <v/>
      </c>
      <c r="N59" s="15" t="str">
        <f aca="false">IF($B59=1,N58+K59,"")</f>
        <v/>
      </c>
      <c r="O59" s="56" t="str">
        <f aca="false">IF($B59=1,G59-I59,"")</f>
        <v/>
      </c>
      <c r="P59" s="19" t="str">
        <f aca="false">IF($B59=1,IF(Nur_Zinsen=1,Eigenkapital,IF($A59&gt;=Laufzeit_EK,0,IF(Zins_EK=0,Eigenkapital*(1-$A59/Laufzeit_EK),MAX(0,Eigenkapital*(1+Zins_EK)^$A59-KD_EK_Jahr*((1+Zins_EK)^$A59-1)/Zins_EK)))),"")</f>
        <v/>
      </c>
      <c r="Q59" s="19" t="str">
        <f aca="false">IF($B59=1,IF(Nur_Zinsen=1,Fremdkapital,IF($A59&gt;=Laufzeit_FK,0,IF(Zins_FK=0,Fremdkapital*(1-$A59/Laufzeit_FK),MAX(0,Fremdkapital*(1+Zins_FK)^$A59-KD_FK_Jahr*((1+Zins_FK)^$A59-1)/Zins_FK)))),"")</f>
        <v/>
      </c>
      <c r="R59" s="58" t="str">
        <f aca="false">IF($B59=1,1/(1+Diskontsatz)^$A59,"")</f>
        <v/>
      </c>
      <c r="S59" s="56" t="str">
        <f aca="false">IF($B59=1,K59*R59,"")</f>
        <v/>
      </c>
      <c r="T59" s="18" t="str">
        <f aca="false">IF($B59=1,IF(K59&gt;0,$A59,""),"")</f>
        <v/>
      </c>
    </row>
    <row r="60" customFormat="false" ht="15" hidden="false" customHeight="false" outlineLevel="0" collapsed="false">
      <c r="A60" s="18" t="n">
        <f aca="false">A59+1</f>
        <v>56</v>
      </c>
      <c r="B60" s="18"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6" t="str">
        <f aca="false">IF($B60=1,J60-G60,"")</f>
        <v/>
      </c>
      <c r="L60" s="57" t="str">
        <f aca="false">IF($B60=1,K60*1000000/Flaeche/12,"")</f>
        <v/>
      </c>
      <c r="M60" s="15" t="str">
        <f aca="false">IF($B60=1,K60*1000000/Wohnungen/12,"")</f>
        <v/>
      </c>
      <c r="N60" s="15" t="str">
        <f aca="false">IF($B60=1,N59+K60,"")</f>
        <v/>
      </c>
      <c r="O60" s="56" t="str">
        <f aca="false">IF($B60=1,G60-I60,"")</f>
        <v/>
      </c>
      <c r="P60" s="19" t="str">
        <f aca="false">IF($B60=1,IF(Nur_Zinsen=1,Eigenkapital,IF($A60&gt;=Laufzeit_EK,0,IF(Zins_EK=0,Eigenkapital*(1-$A60/Laufzeit_EK),MAX(0,Eigenkapital*(1+Zins_EK)^$A60-KD_EK_Jahr*((1+Zins_EK)^$A60-1)/Zins_EK)))),"")</f>
        <v/>
      </c>
      <c r="Q60" s="19" t="str">
        <f aca="false">IF($B60=1,IF(Nur_Zinsen=1,Fremdkapital,IF($A60&gt;=Laufzeit_FK,0,IF(Zins_FK=0,Fremdkapital*(1-$A60/Laufzeit_FK),MAX(0,Fremdkapital*(1+Zins_FK)^$A60-KD_FK_Jahr*((1+Zins_FK)^$A60-1)/Zins_FK)))),"")</f>
        <v/>
      </c>
      <c r="R60" s="58" t="str">
        <f aca="false">IF($B60=1,1/(1+Diskontsatz)^$A60,"")</f>
        <v/>
      </c>
      <c r="S60" s="56" t="str">
        <f aca="false">IF($B60=1,K60*R60,"")</f>
        <v/>
      </c>
      <c r="T60" s="18" t="str">
        <f aca="false">IF($B60=1,IF(K60&gt;0,$A60,""),"")</f>
        <v/>
      </c>
    </row>
    <row r="61" customFormat="false" ht="15" hidden="false" customHeight="false" outlineLevel="0" collapsed="false">
      <c r="A61" s="18" t="n">
        <f aca="false">A60+1</f>
        <v>57</v>
      </c>
      <c r="B61" s="18"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6" t="str">
        <f aca="false">IF($B61=1,J61-G61,"")</f>
        <v/>
      </c>
      <c r="L61" s="57" t="str">
        <f aca="false">IF($B61=1,K61*1000000/Flaeche/12,"")</f>
        <v/>
      </c>
      <c r="M61" s="15" t="str">
        <f aca="false">IF($B61=1,K61*1000000/Wohnungen/12,"")</f>
        <v/>
      </c>
      <c r="N61" s="15" t="str">
        <f aca="false">IF($B61=1,N60+K61,"")</f>
        <v/>
      </c>
      <c r="O61" s="56" t="str">
        <f aca="false">IF($B61=1,G61-I61,"")</f>
        <v/>
      </c>
      <c r="P61" s="19" t="str">
        <f aca="false">IF($B61=1,IF(Nur_Zinsen=1,Eigenkapital,IF($A61&gt;=Laufzeit_EK,0,IF(Zins_EK=0,Eigenkapital*(1-$A61/Laufzeit_EK),MAX(0,Eigenkapital*(1+Zins_EK)^$A61-KD_EK_Jahr*((1+Zins_EK)^$A61-1)/Zins_EK)))),"")</f>
        <v/>
      </c>
      <c r="Q61" s="19" t="str">
        <f aca="false">IF($B61=1,IF(Nur_Zinsen=1,Fremdkapital,IF($A61&gt;=Laufzeit_FK,0,IF(Zins_FK=0,Fremdkapital*(1-$A61/Laufzeit_FK),MAX(0,Fremdkapital*(1+Zins_FK)^$A61-KD_FK_Jahr*((1+Zins_FK)^$A61-1)/Zins_FK)))),"")</f>
        <v/>
      </c>
      <c r="R61" s="58" t="str">
        <f aca="false">IF($B61=1,1/(1+Diskontsatz)^$A61,"")</f>
        <v/>
      </c>
      <c r="S61" s="56" t="str">
        <f aca="false">IF($B61=1,K61*R61,"")</f>
        <v/>
      </c>
      <c r="T61" s="18" t="str">
        <f aca="false">IF($B61=1,IF(K61&gt;0,$A61,""),"")</f>
        <v/>
      </c>
    </row>
    <row r="62" customFormat="false" ht="15" hidden="false" customHeight="false" outlineLevel="0" collapsed="false">
      <c r="A62" s="18" t="n">
        <f aca="false">A61+1</f>
        <v>58</v>
      </c>
      <c r="B62" s="18"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6" t="str">
        <f aca="false">IF($B62=1,J62-G62,"")</f>
        <v/>
      </c>
      <c r="L62" s="57" t="str">
        <f aca="false">IF($B62=1,K62*1000000/Flaeche/12,"")</f>
        <v/>
      </c>
      <c r="M62" s="15" t="str">
        <f aca="false">IF($B62=1,K62*1000000/Wohnungen/12,"")</f>
        <v/>
      </c>
      <c r="N62" s="15" t="str">
        <f aca="false">IF($B62=1,N61+K62,"")</f>
        <v/>
      </c>
      <c r="O62" s="56" t="str">
        <f aca="false">IF($B62=1,G62-I62,"")</f>
        <v/>
      </c>
      <c r="P62" s="19" t="str">
        <f aca="false">IF($B62=1,IF(Nur_Zinsen=1,Eigenkapital,IF($A62&gt;=Laufzeit_EK,0,IF(Zins_EK=0,Eigenkapital*(1-$A62/Laufzeit_EK),MAX(0,Eigenkapital*(1+Zins_EK)^$A62-KD_EK_Jahr*((1+Zins_EK)^$A62-1)/Zins_EK)))),"")</f>
        <v/>
      </c>
      <c r="Q62" s="19" t="str">
        <f aca="false">IF($B62=1,IF(Nur_Zinsen=1,Fremdkapital,IF($A62&gt;=Laufzeit_FK,0,IF(Zins_FK=0,Fremdkapital*(1-$A62/Laufzeit_FK),MAX(0,Fremdkapital*(1+Zins_FK)^$A62-KD_FK_Jahr*((1+Zins_FK)^$A62-1)/Zins_FK)))),"")</f>
        <v/>
      </c>
      <c r="R62" s="58" t="str">
        <f aca="false">IF($B62=1,1/(1+Diskontsatz)^$A62,"")</f>
        <v/>
      </c>
      <c r="S62" s="56" t="str">
        <f aca="false">IF($B62=1,K62*R62,"")</f>
        <v/>
      </c>
      <c r="T62" s="18" t="str">
        <f aca="false">IF($B62=1,IF(K62&gt;0,$A62,""),"")</f>
        <v/>
      </c>
    </row>
    <row r="63" customFormat="false" ht="15" hidden="false" customHeight="false" outlineLevel="0" collapsed="false">
      <c r="A63" s="18" t="n">
        <f aca="false">A62+1</f>
        <v>59</v>
      </c>
      <c r="B63" s="18"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6" t="str">
        <f aca="false">IF($B63=1,J63-G63,"")</f>
        <v/>
      </c>
      <c r="L63" s="57" t="str">
        <f aca="false">IF($B63=1,K63*1000000/Flaeche/12,"")</f>
        <v/>
      </c>
      <c r="M63" s="15" t="str">
        <f aca="false">IF($B63=1,K63*1000000/Wohnungen/12,"")</f>
        <v/>
      </c>
      <c r="N63" s="15" t="str">
        <f aca="false">IF($B63=1,N62+K63,"")</f>
        <v/>
      </c>
      <c r="O63" s="56" t="str">
        <f aca="false">IF($B63=1,G63-I63,"")</f>
        <v/>
      </c>
      <c r="P63" s="19" t="str">
        <f aca="false">IF($B63=1,IF(Nur_Zinsen=1,Eigenkapital,IF($A63&gt;=Laufzeit_EK,0,IF(Zins_EK=0,Eigenkapital*(1-$A63/Laufzeit_EK),MAX(0,Eigenkapital*(1+Zins_EK)^$A63-KD_EK_Jahr*((1+Zins_EK)^$A63-1)/Zins_EK)))),"")</f>
        <v/>
      </c>
      <c r="Q63" s="19" t="str">
        <f aca="false">IF($B63=1,IF(Nur_Zinsen=1,Fremdkapital,IF($A63&gt;=Laufzeit_FK,0,IF(Zins_FK=0,Fremdkapital*(1-$A63/Laufzeit_FK),MAX(0,Fremdkapital*(1+Zins_FK)^$A63-KD_FK_Jahr*((1+Zins_FK)^$A63-1)/Zins_FK)))),"")</f>
        <v/>
      </c>
      <c r="R63" s="58" t="str">
        <f aca="false">IF($B63=1,1/(1+Diskontsatz)^$A63,"")</f>
        <v/>
      </c>
      <c r="S63" s="56" t="str">
        <f aca="false">IF($B63=1,K63*R63,"")</f>
        <v/>
      </c>
      <c r="T63" s="18" t="str">
        <f aca="false">IF($B63=1,IF(K63&gt;0,$A63,""),"")</f>
        <v/>
      </c>
    </row>
    <row r="64" customFormat="false" ht="15" hidden="false" customHeight="false" outlineLevel="0" collapsed="false">
      <c r="A64" s="18" t="n">
        <f aca="false">A63+1</f>
        <v>60</v>
      </c>
      <c r="B64" s="18"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6" t="str">
        <f aca="false">IF($B64=1,J64-G64,"")</f>
        <v/>
      </c>
      <c r="L64" s="57" t="str">
        <f aca="false">IF($B64=1,K64*1000000/Flaeche/12,"")</f>
        <v/>
      </c>
      <c r="M64" s="15" t="str">
        <f aca="false">IF($B64=1,K64*1000000/Wohnungen/12,"")</f>
        <v/>
      </c>
      <c r="N64" s="15" t="str">
        <f aca="false">IF($B64=1,N63+K64,"")</f>
        <v/>
      </c>
      <c r="O64" s="56" t="str">
        <f aca="false">IF($B64=1,G64-I64,"")</f>
        <v/>
      </c>
      <c r="P64" s="19" t="str">
        <f aca="false">IF($B64=1,IF(Nur_Zinsen=1,Eigenkapital,IF($A64&gt;=Laufzeit_EK,0,IF(Zins_EK=0,Eigenkapital*(1-$A64/Laufzeit_EK),MAX(0,Eigenkapital*(1+Zins_EK)^$A64-KD_EK_Jahr*((1+Zins_EK)^$A64-1)/Zins_EK)))),"")</f>
        <v/>
      </c>
      <c r="Q64" s="19" t="str">
        <f aca="false">IF($B64=1,IF(Nur_Zinsen=1,Fremdkapital,IF($A64&gt;=Laufzeit_FK,0,IF(Zins_FK=0,Fremdkapital*(1-$A64/Laufzeit_FK),MAX(0,Fremdkapital*(1+Zins_FK)^$A64-KD_FK_Jahr*((1+Zins_FK)^$A64-1)/Zins_FK)))),"")</f>
        <v/>
      </c>
      <c r="R64" s="58" t="str">
        <f aca="false">IF($B64=1,1/(1+Diskontsatz)^$A64,"")</f>
        <v/>
      </c>
      <c r="S64" s="56" t="str">
        <f aca="false">IF($B64=1,K64*R64,"")</f>
        <v/>
      </c>
      <c r="T64" s="18" t="str">
        <f aca="false">IF($B64=1,IF(K64&gt;0,$A64,""),"")</f>
        <v/>
      </c>
    </row>
    <row r="65" customFormat="false" ht="15" hidden="false" customHeight="false" outlineLevel="0" collapsed="false">
      <c r="A65" s="18" t="n">
        <f aca="false">A64+1</f>
        <v>61</v>
      </c>
      <c r="B65" s="18"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6" t="str">
        <f aca="false">IF($B65=1,J65-G65,"")</f>
        <v/>
      </c>
      <c r="L65" s="57" t="str">
        <f aca="false">IF($B65=1,K65*1000000/Flaeche/12,"")</f>
        <v/>
      </c>
      <c r="M65" s="15" t="str">
        <f aca="false">IF($B65=1,K65*1000000/Wohnungen/12,"")</f>
        <v/>
      </c>
      <c r="N65" s="15" t="str">
        <f aca="false">IF($B65=1,N64+K65,"")</f>
        <v/>
      </c>
      <c r="O65" s="56" t="str">
        <f aca="false">IF($B65=1,G65-I65,"")</f>
        <v/>
      </c>
      <c r="P65" s="19" t="str">
        <f aca="false">IF($B65=1,IF(Nur_Zinsen=1,Eigenkapital,IF($A65&gt;=Laufzeit_EK,0,IF(Zins_EK=0,Eigenkapital*(1-$A65/Laufzeit_EK),MAX(0,Eigenkapital*(1+Zins_EK)^$A65-KD_EK_Jahr*((1+Zins_EK)^$A65-1)/Zins_EK)))),"")</f>
        <v/>
      </c>
      <c r="Q65" s="19" t="str">
        <f aca="false">IF($B65=1,IF(Nur_Zinsen=1,Fremdkapital,IF($A65&gt;=Laufzeit_FK,0,IF(Zins_FK=0,Fremdkapital*(1-$A65/Laufzeit_FK),MAX(0,Fremdkapital*(1+Zins_FK)^$A65-KD_FK_Jahr*((1+Zins_FK)^$A65-1)/Zins_FK)))),"")</f>
        <v/>
      </c>
      <c r="R65" s="58" t="str">
        <f aca="false">IF($B65=1,1/(1+Diskontsatz)^$A65,"")</f>
        <v/>
      </c>
      <c r="S65" s="56" t="str">
        <f aca="false">IF($B65=1,K65*R65,"")</f>
        <v/>
      </c>
      <c r="T65" s="18" t="str">
        <f aca="false">IF($B65=1,IF(K65&gt;0,$A65,""),"")</f>
        <v/>
      </c>
    </row>
    <row r="66" customFormat="false" ht="15" hidden="false" customHeight="false" outlineLevel="0" collapsed="false">
      <c r="A66" s="18" t="n">
        <f aca="false">A65+1</f>
        <v>62</v>
      </c>
      <c r="B66" s="18"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6" t="str">
        <f aca="false">IF($B66=1,J66-G66,"")</f>
        <v/>
      </c>
      <c r="L66" s="57" t="str">
        <f aca="false">IF($B66=1,K66*1000000/Flaeche/12,"")</f>
        <v/>
      </c>
      <c r="M66" s="15" t="str">
        <f aca="false">IF($B66=1,K66*1000000/Wohnungen/12,"")</f>
        <v/>
      </c>
      <c r="N66" s="15" t="str">
        <f aca="false">IF($B66=1,N65+K66,"")</f>
        <v/>
      </c>
      <c r="O66" s="56" t="str">
        <f aca="false">IF($B66=1,G66-I66,"")</f>
        <v/>
      </c>
      <c r="P66" s="19" t="str">
        <f aca="false">IF($B66=1,IF(Nur_Zinsen=1,Eigenkapital,IF($A66&gt;=Laufzeit_EK,0,IF(Zins_EK=0,Eigenkapital*(1-$A66/Laufzeit_EK),MAX(0,Eigenkapital*(1+Zins_EK)^$A66-KD_EK_Jahr*((1+Zins_EK)^$A66-1)/Zins_EK)))),"")</f>
        <v/>
      </c>
      <c r="Q66" s="19" t="str">
        <f aca="false">IF($B66=1,IF(Nur_Zinsen=1,Fremdkapital,IF($A66&gt;=Laufzeit_FK,0,IF(Zins_FK=0,Fremdkapital*(1-$A66/Laufzeit_FK),MAX(0,Fremdkapital*(1+Zins_FK)^$A66-KD_FK_Jahr*((1+Zins_FK)^$A66-1)/Zins_FK)))),"")</f>
        <v/>
      </c>
      <c r="R66" s="58" t="str">
        <f aca="false">IF($B66=1,1/(1+Diskontsatz)^$A66,"")</f>
        <v/>
      </c>
      <c r="S66" s="56" t="str">
        <f aca="false">IF($B66=1,K66*R66,"")</f>
        <v/>
      </c>
      <c r="T66" s="18" t="str">
        <f aca="false">IF($B66=1,IF(K66&gt;0,$A66,""),"")</f>
        <v/>
      </c>
    </row>
    <row r="67" customFormat="false" ht="15" hidden="false" customHeight="false" outlineLevel="0" collapsed="false">
      <c r="A67" s="18" t="n">
        <f aca="false">A66+1</f>
        <v>63</v>
      </c>
      <c r="B67" s="18"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6" t="str">
        <f aca="false">IF($B67=1,J67-G67,"")</f>
        <v/>
      </c>
      <c r="L67" s="57" t="str">
        <f aca="false">IF($B67=1,K67*1000000/Flaeche/12,"")</f>
        <v/>
      </c>
      <c r="M67" s="15" t="str">
        <f aca="false">IF($B67=1,K67*1000000/Wohnungen/12,"")</f>
        <v/>
      </c>
      <c r="N67" s="15" t="str">
        <f aca="false">IF($B67=1,N66+K67,"")</f>
        <v/>
      </c>
      <c r="O67" s="56" t="str">
        <f aca="false">IF($B67=1,G67-I67,"")</f>
        <v/>
      </c>
      <c r="P67" s="19" t="str">
        <f aca="false">IF($B67=1,IF(Nur_Zinsen=1,Eigenkapital,IF($A67&gt;=Laufzeit_EK,0,IF(Zins_EK=0,Eigenkapital*(1-$A67/Laufzeit_EK),MAX(0,Eigenkapital*(1+Zins_EK)^$A67-KD_EK_Jahr*((1+Zins_EK)^$A67-1)/Zins_EK)))),"")</f>
        <v/>
      </c>
      <c r="Q67" s="19" t="str">
        <f aca="false">IF($B67=1,IF(Nur_Zinsen=1,Fremdkapital,IF($A67&gt;=Laufzeit_FK,0,IF(Zins_FK=0,Fremdkapital*(1-$A67/Laufzeit_FK),MAX(0,Fremdkapital*(1+Zins_FK)^$A67-KD_FK_Jahr*((1+Zins_FK)^$A67-1)/Zins_FK)))),"")</f>
        <v/>
      </c>
      <c r="R67" s="58" t="str">
        <f aca="false">IF($B67=1,1/(1+Diskontsatz)^$A67,"")</f>
        <v/>
      </c>
      <c r="S67" s="56" t="str">
        <f aca="false">IF($B67=1,K67*R67,"")</f>
        <v/>
      </c>
      <c r="T67" s="18" t="str">
        <f aca="false">IF($B67=1,IF(K67&gt;0,$A67,""),"")</f>
        <v/>
      </c>
    </row>
    <row r="68" customFormat="false" ht="15" hidden="false" customHeight="false" outlineLevel="0" collapsed="false">
      <c r="A68" s="18" t="n">
        <f aca="false">A67+1</f>
        <v>64</v>
      </c>
      <c r="B68" s="18"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6" t="str">
        <f aca="false">IF($B68=1,J68-G68,"")</f>
        <v/>
      </c>
      <c r="L68" s="57" t="str">
        <f aca="false">IF($B68=1,K68*1000000/Flaeche/12,"")</f>
        <v/>
      </c>
      <c r="M68" s="15" t="str">
        <f aca="false">IF($B68=1,K68*1000000/Wohnungen/12,"")</f>
        <v/>
      </c>
      <c r="N68" s="15" t="str">
        <f aca="false">IF($B68=1,N67+K68,"")</f>
        <v/>
      </c>
      <c r="O68" s="56" t="str">
        <f aca="false">IF($B68=1,G68-I68,"")</f>
        <v/>
      </c>
      <c r="P68" s="19" t="str">
        <f aca="false">IF($B68=1,IF(Nur_Zinsen=1,Eigenkapital,IF($A68&gt;=Laufzeit_EK,0,IF(Zins_EK=0,Eigenkapital*(1-$A68/Laufzeit_EK),MAX(0,Eigenkapital*(1+Zins_EK)^$A68-KD_EK_Jahr*((1+Zins_EK)^$A68-1)/Zins_EK)))),"")</f>
        <v/>
      </c>
      <c r="Q68" s="19" t="str">
        <f aca="false">IF($B68=1,IF(Nur_Zinsen=1,Fremdkapital,IF($A68&gt;=Laufzeit_FK,0,IF(Zins_FK=0,Fremdkapital*(1-$A68/Laufzeit_FK),MAX(0,Fremdkapital*(1+Zins_FK)^$A68-KD_FK_Jahr*((1+Zins_FK)^$A68-1)/Zins_FK)))),"")</f>
        <v/>
      </c>
      <c r="R68" s="58" t="str">
        <f aca="false">IF($B68=1,1/(1+Diskontsatz)^$A68,"")</f>
        <v/>
      </c>
      <c r="S68" s="56" t="str">
        <f aca="false">IF($B68=1,K68*R68,"")</f>
        <v/>
      </c>
      <c r="T68" s="18" t="str">
        <f aca="false">IF($B68=1,IF(K68&gt;0,$A68,""),"")</f>
        <v/>
      </c>
    </row>
    <row r="69" customFormat="false" ht="15" hidden="false" customHeight="false" outlineLevel="0" collapsed="false">
      <c r="A69" s="18" t="n">
        <f aca="false">A68+1</f>
        <v>65</v>
      </c>
      <c r="B69" s="18"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6" t="str">
        <f aca="false">IF($B69=1,J69-G69,"")</f>
        <v/>
      </c>
      <c r="L69" s="57" t="str">
        <f aca="false">IF($B69=1,K69*1000000/Flaeche/12,"")</f>
        <v/>
      </c>
      <c r="M69" s="15" t="str">
        <f aca="false">IF($B69=1,K69*1000000/Wohnungen/12,"")</f>
        <v/>
      </c>
      <c r="N69" s="15" t="str">
        <f aca="false">IF($B69=1,N68+K69,"")</f>
        <v/>
      </c>
      <c r="O69" s="56" t="str">
        <f aca="false">IF($B69=1,G69-I69,"")</f>
        <v/>
      </c>
      <c r="P69" s="19" t="str">
        <f aca="false">IF($B69=1,IF(Nur_Zinsen=1,Eigenkapital,IF($A69&gt;=Laufzeit_EK,0,IF(Zins_EK=0,Eigenkapital*(1-$A69/Laufzeit_EK),MAX(0,Eigenkapital*(1+Zins_EK)^$A69-KD_EK_Jahr*((1+Zins_EK)^$A69-1)/Zins_EK)))),"")</f>
        <v/>
      </c>
      <c r="Q69" s="19" t="str">
        <f aca="false">IF($B69=1,IF(Nur_Zinsen=1,Fremdkapital,IF($A69&gt;=Laufzeit_FK,0,IF(Zins_FK=0,Fremdkapital*(1-$A69/Laufzeit_FK),MAX(0,Fremdkapital*(1+Zins_FK)^$A69-KD_FK_Jahr*((1+Zins_FK)^$A69-1)/Zins_FK)))),"")</f>
        <v/>
      </c>
      <c r="R69" s="58" t="str">
        <f aca="false">IF($B69=1,1/(1+Diskontsatz)^$A69,"")</f>
        <v/>
      </c>
      <c r="S69" s="56" t="str">
        <f aca="false">IF($B69=1,K69*R69,"")</f>
        <v/>
      </c>
      <c r="T69" s="18" t="str">
        <f aca="false">IF($B69=1,IF(K69&gt;0,$A69,""),"")</f>
        <v/>
      </c>
    </row>
    <row r="70" customFormat="false" ht="15" hidden="false" customHeight="false" outlineLevel="0" collapsed="false">
      <c r="A70" s="18" t="n">
        <f aca="false">A69+1</f>
        <v>66</v>
      </c>
      <c r="B70" s="18"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6" t="str">
        <f aca="false">IF($B70=1,J70-G70,"")</f>
        <v/>
      </c>
      <c r="L70" s="57" t="str">
        <f aca="false">IF($B70=1,K70*1000000/Flaeche/12,"")</f>
        <v/>
      </c>
      <c r="M70" s="15" t="str">
        <f aca="false">IF($B70=1,K70*1000000/Wohnungen/12,"")</f>
        <v/>
      </c>
      <c r="N70" s="15" t="str">
        <f aca="false">IF($B70=1,N69+K70,"")</f>
        <v/>
      </c>
      <c r="O70" s="56" t="str">
        <f aca="false">IF($B70=1,G70-I70,"")</f>
        <v/>
      </c>
      <c r="P70" s="19" t="str">
        <f aca="false">IF($B70=1,IF(Nur_Zinsen=1,Eigenkapital,IF($A70&gt;=Laufzeit_EK,0,IF(Zins_EK=0,Eigenkapital*(1-$A70/Laufzeit_EK),MAX(0,Eigenkapital*(1+Zins_EK)^$A70-KD_EK_Jahr*((1+Zins_EK)^$A70-1)/Zins_EK)))),"")</f>
        <v/>
      </c>
      <c r="Q70" s="19" t="str">
        <f aca="false">IF($B70=1,IF(Nur_Zinsen=1,Fremdkapital,IF($A70&gt;=Laufzeit_FK,0,IF(Zins_FK=0,Fremdkapital*(1-$A70/Laufzeit_FK),MAX(0,Fremdkapital*(1+Zins_FK)^$A70-KD_FK_Jahr*((1+Zins_FK)^$A70-1)/Zins_FK)))),"")</f>
        <v/>
      </c>
      <c r="R70" s="58" t="str">
        <f aca="false">IF($B70=1,1/(1+Diskontsatz)^$A70,"")</f>
        <v/>
      </c>
      <c r="S70" s="56" t="str">
        <f aca="false">IF($B70=1,K70*R70,"")</f>
        <v/>
      </c>
      <c r="T70" s="18" t="str">
        <f aca="false">IF($B70=1,IF(K70&gt;0,$A70,""),"")</f>
        <v/>
      </c>
    </row>
    <row r="71" customFormat="false" ht="15" hidden="false" customHeight="false" outlineLevel="0" collapsed="false">
      <c r="A71" s="18" t="n">
        <f aca="false">A70+1</f>
        <v>67</v>
      </c>
      <c r="B71" s="18"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6" t="str">
        <f aca="false">IF($B71=1,J71-G71,"")</f>
        <v/>
      </c>
      <c r="L71" s="57" t="str">
        <f aca="false">IF($B71=1,K71*1000000/Flaeche/12,"")</f>
        <v/>
      </c>
      <c r="M71" s="15" t="str">
        <f aca="false">IF($B71=1,K71*1000000/Wohnungen/12,"")</f>
        <v/>
      </c>
      <c r="N71" s="15" t="str">
        <f aca="false">IF($B71=1,N70+K71,"")</f>
        <v/>
      </c>
      <c r="O71" s="56" t="str">
        <f aca="false">IF($B71=1,G71-I71,"")</f>
        <v/>
      </c>
      <c r="P71" s="19" t="str">
        <f aca="false">IF($B71=1,IF(Nur_Zinsen=1,Eigenkapital,IF($A71&gt;=Laufzeit_EK,0,IF(Zins_EK=0,Eigenkapital*(1-$A71/Laufzeit_EK),MAX(0,Eigenkapital*(1+Zins_EK)^$A71-KD_EK_Jahr*((1+Zins_EK)^$A71-1)/Zins_EK)))),"")</f>
        <v/>
      </c>
      <c r="Q71" s="19" t="str">
        <f aca="false">IF($B71=1,IF(Nur_Zinsen=1,Fremdkapital,IF($A71&gt;=Laufzeit_FK,0,IF(Zins_FK=0,Fremdkapital*(1-$A71/Laufzeit_FK),MAX(0,Fremdkapital*(1+Zins_FK)^$A71-KD_FK_Jahr*((1+Zins_FK)^$A71-1)/Zins_FK)))),"")</f>
        <v/>
      </c>
      <c r="R71" s="58" t="str">
        <f aca="false">IF($B71=1,1/(1+Diskontsatz)^$A71,"")</f>
        <v/>
      </c>
      <c r="S71" s="56" t="str">
        <f aca="false">IF($B71=1,K71*R71,"")</f>
        <v/>
      </c>
      <c r="T71" s="18" t="str">
        <f aca="false">IF($B71=1,IF(K71&gt;0,$A71,""),"")</f>
        <v/>
      </c>
    </row>
    <row r="72" customFormat="false" ht="15" hidden="false" customHeight="false" outlineLevel="0" collapsed="false">
      <c r="A72" s="18" t="n">
        <f aca="false">A71+1</f>
        <v>68</v>
      </c>
      <c r="B72" s="18"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6" t="str">
        <f aca="false">IF($B72=1,J72-G72,"")</f>
        <v/>
      </c>
      <c r="L72" s="57" t="str">
        <f aca="false">IF($B72=1,K72*1000000/Flaeche/12,"")</f>
        <v/>
      </c>
      <c r="M72" s="15" t="str">
        <f aca="false">IF($B72=1,K72*1000000/Wohnungen/12,"")</f>
        <v/>
      </c>
      <c r="N72" s="15" t="str">
        <f aca="false">IF($B72=1,N71+K72,"")</f>
        <v/>
      </c>
      <c r="O72" s="56" t="str">
        <f aca="false">IF($B72=1,G72-I72,"")</f>
        <v/>
      </c>
      <c r="P72" s="19" t="str">
        <f aca="false">IF($B72=1,IF(Nur_Zinsen=1,Eigenkapital,IF($A72&gt;=Laufzeit_EK,0,IF(Zins_EK=0,Eigenkapital*(1-$A72/Laufzeit_EK),MAX(0,Eigenkapital*(1+Zins_EK)^$A72-KD_EK_Jahr*((1+Zins_EK)^$A72-1)/Zins_EK)))),"")</f>
        <v/>
      </c>
      <c r="Q72" s="19" t="str">
        <f aca="false">IF($B72=1,IF(Nur_Zinsen=1,Fremdkapital,IF($A72&gt;=Laufzeit_FK,0,IF(Zins_FK=0,Fremdkapital*(1-$A72/Laufzeit_FK),MAX(0,Fremdkapital*(1+Zins_FK)^$A72-KD_FK_Jahr*((1+Zins_FK)^$A72-1)/Zins_FK)))),"")</f>
        <v/>
      </c>
      <c r="R72" s="58" t="str">
        <f aca="false">IF($B72=1,1/(1+Diskontsatz)^$A72,"")</f>
        <v/>
      </c>
      <c r="S72" s="56" t="str">
        <f aca="false">IF($B72=1,K72*R72,"")</f>
        <v/>
      </c>
      <c r="T72" s="18" t="str">
        <f aca="false">IF($B72=1,IF(K72&gt;0,$A72,""),"")</f>
        <v/>
      </c>
    </row>
    <row r="73" customFormat="false" ht="15" hidden="false" customHeight="false" outlineLevel="0" collapsed="false">
      <c r="A73" s="18" t="n">
        <f aca="false">A72+1</f>
        <v>69</v>
      </c>
      <c r="B73" s="18"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6" t="str">
        <f aca="false">IF($B73=1,J73-G73,"")</f>
        <v/>
      </c>
      <c r="L73" s="57" t="str">
        <f aca="false">IF($B73=1,K73*1000000/Flaeche/12,"")</f>
        <v/>
      </c>
      <c r="M73" s="15" t="str">
        <f aca="false">IF($B73=1,K73*1000000/Wohnungen/12,"")</f>
        <v/>
      </c>
      <c r="N73" s="15" t="str">
        <f aca="false">IF($B73=1,N72+K73,"")</f>
        <v/>
      </c>
      <c r="O73" s="56" t="str">
        <f aca="false">IF($B73=1,G73-I73,"")</f>
        <v/>
      </c>
      <c r="P73" s="19" t="str">
        <f aca="false">IF($B73=1,IF(Nur_Zinsen=1,Eigenkapital,IF($A73&gt;=Laufzeit_EK,0,IF(Zins_EK=0,Eigenkapital*(1-$A73/Laufzeit_EK),MAX(0,Eigenkapital*(1+Zins_EK)^$A73-KD_EK_Jahr*((1+Zins_EK)^$A73-1)/Zins_EK)))),"")</f>
        <v/>
      </c>
      <c r="Q73" s="19" t="str">
        <f aca="false">IF($B73=1,IF(Nur_Zinsen=1,Fremdkapital,IF($A73&gt;=Laufzeit_FK,0,IF(Zins_FK=0,Fremdkapital*(1-$A73/Laufzeit_FK),MAX(0,Fremdkapital*(1+Zins_FK)^$A73-KD_FK_Jahr*((1+Zins_FK)^$A73-1)/Zins_FK)))),"")</f>
        <v/>
      </c>
      <c r="R73" s="58" t="str">
        <f aca="false">IF($B73=1,1/(1+Diskontsatz)^$A73,"")</f>
        <v/>
      </c>
      <c r="S73" s="56" t="str">
        <f aca="false">IF($B73=1,K73*R73,"")</f>
        <v/>
      </c>
      <c r="T73" s="18" t="str">
        <f aca="false">IF($B73=1,IF(K73&gt;0,$A73,""),"")</f>
        <v/>
      </c>
    </row>
    <row r="74" customFormat="false" ht="15" hidden="false" customHeight="false" outlineLevel="0" collapsed="false">
      <c r="A74" s="18" t="n">
        <f aca="false">A73+1</f>
        <v>70</v>
      </c>
      <c r="B74" s="18"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6" t="str">
        <f aca="false">IF($B74=1,J74-G74,"")</f>
        <v/>
      </c>
      <c r="L74" s="57" t="str">
        <f aca="false">IF($B74=1,K74*1000000/Flaeche/12,"")</f>
        <v/>
      </c>
      <c r="M74" s="15" t="str">
        <f aca="false">IF($B74=1,K74*1000000/Wohnungen/12,"")</f>
        <v/>
      </c>
      <c r="N74" s="15" t="str">
        <f aca="false">IF($B74=1,N73+K74,"")</f>
        <v/>
      </c>
      <c r="O74" s="56" t="str">
        <f aca="false">IF($B74=1,G74-I74,"")</f>
        <v/>
      </c>
      <c r="P74" s="19" t="str">
        <f aca="false">IF($B74=1,IF(Nur_Zinsen=1,Eigenkapital,IF($A74&gt;=Laufzeit_EK,0,IF(Zins_EK=0,Eigenkapital*(1-$A74/Laufzeit_EK),MAX(0,Eigenkapital*(1+Zins_EK)^$A74-KD_EK_Jahr*((1+Zins_EK)^$A74-1)/Zins_EK)))),"")</f>
        <v/>
      </c>
      <c r="Q74" s="19" t="str">
        <f aca="false">IF($B74=1,IF(Nur_Zinsen=1,Fremdkapital,IF($A74&gt;=Laufzeit_FK,0,IF(Zins_FK=0,Fremdkapital*(1-$A74/Laufzeit_FK),MAX(0,Fremdkapital*(1+Zins_FK)^$A74-KD_FK_Jahr*((1+Zins_FK)^$A74-1)/Zins_FK)))),"")</f>
        <v/>
      </c>
      <c r="R74" s="58" t="str">
        <f aca="false">IF($B74=1,1/(1+Diskontsatz)^$A74,"")</f>
        <v/>
      </c>
      <c r="S74" s="56" t="str">
        <f aca="false">IF($B74=1,K74*R74,"")</f>
        <v/>
      </c>
      <c r="T74" s="18" t="str">
        <f aca="false">IF($B74=1,IF(K74&gt;0,$A74,""),"")</f>
        <v/>
      </c>
    </row>
    <row r="75" customFormat="false" ht="15" hidden="false" customHeight="false" outlineLevel="0" collapsed="false">
      <c r="A75" s="18" t="n">
        <f aca="false">A74+1</f>
        <v>71</v>
      </c>
      <c r="B75" s="18"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6" t="str">
        <f aca="false">IF($B75=1,J75-G75,"")</f>
        <v/>
      </c>
      <c r="L75" s="57" t="str">
        <f aca="false">IF($B75=1,K75*1000000/Flaeche/12,"")</f>
        <v/>
      </c>
      <c r="M75" s="15" t="str">
        <f aca="false">IF($B75=1,K75*1000000/Wohnungen/12,"")</f>
        <v/>
      </c>
      <c r="N75" s="15" t="str">
        <f aca="false">IF($B75=1,N74+K75,"")</f>
        <v/>
      </c>
      <c r="O75" s="56" t="str">
        <f aca="false">IF($B75=1,G75-I75,"")</f>
        <v/>
      </c>
      <c r="P75" s="19" t="str">
        <f aca="false">IF($B75=1,IF(Nur_Zinsen=1,Eigenkapital,IF($A75&gt;=Laufzeit_EK,0,IF(Zins_EK=0,Eigenkapital*(1-$A75/Laufzeit_EK),MAX(0,Eigenkapital*(1+Zins_EK)^$A75-KD_EK_Jahr*((1+Zins_EK)^$A75-1)/Zins_EK)))),"")</f>
        <v/>
      </c>
      <c r="Q75" s="19" t="str">
        <f aca="false">IF($B75=1,IF(Nur_Zinsen=1,Fremdkapital,IF($A75&gt;=Laufzeit_FK,0,IF(Zins_FK=0,Fremdkapital*(1-$A75/Laufzeit_FK),MAX(0,Fremdkapital*(1+Zins_FK)^$A75-KD_FK_Jahr*((1+Zins_FK)^$A75-1)/Zins_FK)))),"")</f>
        <v/>
      </c>
      <c r="R75" s="58" t="str">
        <f aca="false">IF($B75=1,1/(1+Diskontsatz)^$A75,"")</f>
        <v/>
      </c>
      <c r="S75" s="56" t="str">
        <f aca="false">IF($B75=1,K75*R75,"")</f>
        <v/>
      </c>
      <c r="T75" s="18" t="str">
        <f aca="false">IF($B75=1,IF(K75&gt;0,$A75,""),"")</f>
        <v/>
      </c>
    </row>
    <row r="76" customFormat="false" ht="15" hidden="false" customHeight="false" outlineLevel="0" collapsed="false">
      <c r="A76" s="18" t="n">
        <f aca="false">A75+1</f>
        <v>72</v>
      </c>
      <c r="B76" s="18"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6" t="str">
        <f aca="false">IF($B76=1,J76-G76,"")</f>
        <v/>
      </c>
      <c r="L76" s="57" t="str">
        <f aca="false">IF($B76=1,K76*1000000/Flaeche/12,"")</f>
        <v/>
      </c>
      <c r="M76" s="15" t="str">
        <f aca="false">IF($B76=1,K76*1000000/Wohnungen/12,"")</f>
        <v/>
      </c>
      <c r="N76" s="15" t="str">
        <f aca="false">IF($B76=1,N75+K76,"")</f>
        <v/>
      </c>
      <c r="O76" s="56" t="str">
        <f aca="false">IF($B76=1,G76-I76,"")</f>
        <v/>
      </c>
      <c r="P76" s="19" t="str">
        <f aca="false">IF($B76=1,IF(Nur_Zinsen=1,Eigenkapital,IF($A76&gt;=Laufzeit_EK,0,IF(Zins_EK=0,Eigenkapital*(1-$A76/Laufzeit_EK),MAX(0,Eigenkapital*(1+Zins_EK)^$A76-KD_EK_Jahr*((1+Zins_EK)^$A76-1)/Zins_EK)))),"")</f>
        <v/>
      </c>
      <c r="Q76" s="19" t="str">
        <f aca="false">IF($B76=1,IF(Nur_Zinsen=1,Fremdkapital,IF($A76&gt;=Laufzeit_FK,0,IF(Zins_FK=0,Fremdkapital*(1-$A76/Laufzeit_FK),MAX(0,Fremdkapital*(1+Zins_FK)^$A76-KD_FK_Jahr*((1+Zins_FK)^$A76-1)/Zins_FK)))),"")</f>
        <v/>
      </c>
      <c r="R76" s="58" t="str">
        <f aca="false">IF($B76=1,1/(1+Diskontsatz)^$A76,"")</f>
        <v/>
      </c>
      <c r="S76" s="56" t="str">
        <f aca="false">IF($B76=1,K76*R76,"")</f>
        <v/>
      </c>
      <c r="T76" s="18" t="str">
        <f aca="false">IF($B76=1,IF(K76&gt;0,$A76,""),"")</f>
        <v/>
      </c>
    </row>
    <row r="77" customFormat="false" ht="15" hidden="false" customHeight="false" outlineLevel="0" collapsed="false">
      <c r="A77" s="18" t="n">
        <f aca="false">A76+1</f>
        <v>73</v>
      </c>
      <c r="B77" s="18"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6" t="str">
        <f aca="false">IF($B77=1,J77-G77,"")</f>
        <v/>
      </c>
      <c r="L77" s="57" t="str">
        <f aca="false">IF($B77=1,K77*1000000/Flaeche/12,"")</f>
        <v/>
      </c>
      <c r="M77" s="15" t="str">
        <f aca="false">IF($B77=1,K77*1000000/Wohnungen/12,"")</f>
        <v/>
      </c>
      <c r="N77" s="15" t="str">
        <f aca="false">IF($B77=1,N76+K77,"")</f>
        <v/>
      </c>
      <c r="O77" s="56" t="str">
        <f aca="false">IF($B77=1,G77-I77,"")</f>
        <v/>
      </c>
      <c r="P77" s="19" t="str">
        <f aca="false">IF($B77=1,IF(Nur_Zinsen=1,Eigenkapital,IF($A77&gt;=Laufzeit_EK,0,IF(Zins_EK=0,Eigenkapital*(1-$A77/Laufzeit_EK),MAX(0,Eigenkapital*(1+Zins_EK)^$A77-KD_EK_Jahr*((1+Zins_EK)^$A77-1)/Zins_EK)))),"")</f>
        <v/>
      </c>
      <c r="Q77" s="19" t="str">
        <f aca="false">IF($B77=1,IF(Nur_Zinsen=1,Fremdkapital,IF($A77&gt;=Laufzeit_FK,0,IF(Zins_FK=0,Fremdkapital*(1-$A77/Laufzeit_FK),MAX(0,Fremdkapital*(1+Zins_FK)^$A77-KD_FK_Jahr*((1+Zins_FK)^$A77-1)/Zins_FK)))),"")</f>
        <v/>
      </c>
      <c r="R77" s="58" t="str">
        <f aca="false">IF($B77=1,1/(1+Diskontsatz)^$A77,"")</f>
        <v/>
      </c>
      <c r="S77" s="56" t="str">
        <f aca="false">IF($B77=1,K77*R77,"")</f>
        <v/>
      </c>
      <c r="T77" s="18" t="str">
        <f aca="false">IF($B77=1,IF(K77&gt;0,$A77,""),"")</f>
        <v/>
      </c>
    </row>
    <row r="78" customFormat="false" ht="15" hidden="false" customHeight="false" outlineLevel="0" collapsed="false">
      <c r="A78" s="18" t="n">
        <f aca="false">A77+1</f>
        <v>74</v>
      </c>
      <c r="B78" s="18"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6" t="str">
        <f aca="false">IF($B78=1,J78-G78,"")</f>
        <v/>
      </c>
      <c r="L78" s="57" t="str">
        <f aca="false">IF($B78=1,K78*1000000/Flaeche/12,"")</f>
        <v/>
      </c>
      <c r="M78" s="15" t="str">
        <f aca="false">IF($B78=1,K78*1000000/Wohnungen/12,"")</f>
        <v/>
      </c>
      <c r="N78" s="15" t="str">
        <f aca="false">IF($B78=1,N77+K78,"")</f>
        <v/>
      </c>
      <c r="O78" s="56" t="str">
        <f aca="false">IF($B78=1,G78-I78,"")</f>
        <v/>
      </c>
      <c r="P78" s="19" t="str">
        <f aca="false">IF($B78=1,IF(Nur_Zinsen=1,Eigenkapital,IF($A78&gt;=Laufzeit_EK,0,IF(Zins_EK=0,Eigenkapital*(1-$A78/Laufzeit_EK),MAX(0,Eigenkapital*(1+Zins_EK)^$A78-KD_EK_Jahr*((1+Zins_EK)^$A78-1)/Zins_EK)))),"")</f>
        <v/>
      </c>
      <c r="Q78" s="19" t="str">
        <f aca="false">IF($B78=1,IF(Nur_Zinsen=1,Fremdkapital,IF($A78&gt;=Laufzeit_FK,0,IF(Zins_FK=0,Fremdkapital*(1-$A78/Laufzeit_FK),MAX(0,Fremdkapital*(1+Zins_FK)^$A78-KD_FK_Jahr*((1+Zins_FK)^$A78-1)/Zins_FK)))),"")</f>
        <v/>
      </c>
      <c r="R78" s="58" t="str">
        <f aca="false">IF($B78=1,1/(1+Diskontsatz)^$A78,"")</f>
        <v/>
      </c>
      <c r="S78" s="56" t="str">
        <f aca="false">IF($B78=1,K78*R78,"")</f>
        <v/>
      </c>
      <c r="T78" s="18" t="str">
        <f aca="false">IF($B78=1,IF(K78&gt;0,$A78,""),"")</f>
        <v/>
      </c>
    </row>
    <row r="79" customFormat="false" ht="15" hidden="false" customHeight="false" outlineLevel="0" collapsed="false">
      <c r="A79" s="18" t="n">
        <f aca="false">A78+1</f>
        <v>75</v>
      </c>
      <c r="B79" s="18"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6" t="str">
        <f aca="false">IF($B79=1,J79-G79,"")</f>
        <v/>
      </c>
      <c r="L79" s="57" t="str">
        <f aca="false">IF($B79=1,K79*1000000/Flaeche/12,"")</f>
        <v/>
      </c>
      <c r="M79" s="15" t="str">
        <f aca="false">IF($B79=1,K79*1000000/Wohnungen/12,"")</f>
        <v/>
      </c>
      <c r="N79" s="15" t="str">
        <f aca="false">IF($B79=1,N78+K79,"")</f>
        <v/>
      </c>
      <c r="O79" s="56" t="str">
        <f aca="false">IF($B79=1,G79-I79,"")</f>
        <v/>
      </c>
      <c r="P79" s="19" t="str">
        <f aca="false">IF($B79=1,IF(Nur_Zinsen=1,Eigenkapital,IF($A79&gt;=Laufzeit_EK,0,IF(Zins_EK=0,Eigenkapital*(1-$A79/Laufzeit_EK),MAX(0,Eigenkapital*(1+Zins_EK)^$A79-KD_EK_Jahr*((1+Zins_EK)^$A79-1)/Zins_EK)))),"")</f>
        <v/>
      </c>
      <c r="Q79" s="19" t="str">
        <f aca="false">IF($B79=1,IF(Nur_Zinsen=1,Fremdkapital,IF($A79&gt;=Laufzeit_FK,0,IF(Zins_FK=0,Fremdkapital*(1-$A79/Laufzeit_FK),MAX(0,Fremdkapital*(1+Zins_FK)^$A79-KD_FK_Jahr*((1+Zins_FK)^$A79-1)/Zins_FK)))),"")</f>
        <v/>
      </c>
      <c r="R79" s="58" t="str">
        <f aca="false">IF($B79=1,1/(1+Diskontsatz)^$A79,"")</f>
        <v/>
      </c>
      <c r="S79" s="56" t="str">
        <f aca="false">IF($B79=1,K79*R79,"")</f>
        <v/>
      </c>
      <c r="T79" s="18" t="str">
        <f aca="false">IF($B79=1,IF(K79&gt;0,$A79,""),"")</f>
        <v/>
      </c>
    </row>
    <row r="80" customFormat="false" ht="15" hidden="false" customHeight="false" outlineLevel="0" collapsed="false">
      <c r="A80" s="18" t="n">
        <f aca="false">A79+1</f>
        <v>76</v>
      </c>
      <c r="B80" s="18"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6" t="str">
        <f aca="false">IF($B80=1,J80-G80,"")</f>
        <v/>
      </c>
      <c r="L80" s="57" t="str">
        <f aca="false">IF($B80=1,K80*1000000/Flaeche/12,"")</f>
        <v/>
      </c>
      <c r="M80" s="15" t="str">
        <f aca="false">IF($B80=1,K80*1000000/Wohnungen/12,"")</f>
        <v/>
      </c>
      <c r="N80" s="15" t="str">
        <f aca="false">IF($B80=1,N79+K80,"")</f>
        <v/>
      </c>
      <c r="O80" s="56" t="str">
        <f aca="false">IF($B80=1,G80-I80,"")</f>
        <v/>
      </c>
      <c r="P80" s="19" t="str">
        <f aca="false">IF($B80=1,IF(Nur_Zinsen=1,Eigenkapital,IF($A80&gt;=Laufzeit_EK,0,IF(Zins_EK=0,Eigenkapital*(1-$A80/Laufzeit_EK),MAX(0,Eigenkapital*(1+Zins_EK)^$A80-KD_EK_Jahr*((1+Zins_EK)^$A80-1)/Zins_EK)))),"")</f>
        <v/>
      </c>
      <c r="Q80" s="19" t="str">
        <f aca="false">IF($B80=1,IF(Nur_Zinsen=1,Fremdkapital,IF($A80&gt;=Laufzeit_FK,0,IF(Zins_FK=0,Fremdkapital*(1-$A80/Laufzeit_FK),MAX(0,Fremdkapital*(1+Zins_FK)^$A80-KD_FK_Jahr*((1+Zins_FK)^$A80-1)/Zins_FK)))),"")</f>
        <v/>
      </c>
      <c r="R80" s="58" t="str">
        <f aca="false">IF($B80=1,1/(1+Diskontsatz)^$A80,"")</f>
        <v/>
      </c>
      <c r="S80" s="56" t="str">
        <f aca="false">IF($B80=1,K80*R80,"")</f>
        <v/>
      </c>
      <c r="T80" s="18" t="str">
        <f aca="false">IF($B80=1,IF(K80&gt;0,$A80,""),"")</f>
        <v/>
      </c>
    </row>
    <row r="81" customFormat="false" ht="15" hidden="false" customHeight="false" outlineLevel="0" collapsed="false">
      <c r="A81" s="18" t="n">
        <f aca="false">A80+1</f>
        <v>77</v>
      </c>
      <c r="B81" s="18"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6" t="str">
        <f aca="false">IF($B81=1,J81-G81,"")</f>
        <v/>
      </c>
      <c r="L81" s="57" t="str">
        <f aca="false">IF($B81=1,K81*1000000/Flaeche/12,"")</f>
        <v/>
      </c>
      <c r="M81" s="15" t="str">
        <f aca="false">IF($B81=1,K81*1000000/Wohnungen/12,"")</f>
        <v/>
      </c>
      <c r="N81" s="15" t="str">
        <f aca="false">IF($B81=1,N80+K81,"")</f>
        <v/>
      </c>
      <c r="O81" s="56" t="str">
        <f aca="false">IF($B81=1,G81-I81,"")</f>
        <v/>
      </c>
      <c r="P81" s="19" t="str">
        <f aca="false">IF($B81=1,IF(Nur_Zinsen=1,Eigenkapital,IF($A81&gt;=Laufzeit_EK,0,IF(Zins_EK=0,Eigenkapital*(1-$A81/Laufzeit_EK),MAX(0,Eigenkapital*(1+Zins_EK)^$A81-KD_EK_Jahr*((1+Zins_EK)^$A81-1)/Zins_EK)))),"")</f>
        <v/>
      </c>
      <c r="Q81" s="19" t="str">
        <f aca="false">IF($B81=1,IF(Nur_Zinsen=1,Fremdkapital,IF($A81&gt;=Laufzeit_FK,0,IF(Zins_FK=0,Fremdkapital*(1-$A81/Laufzeit_FK),MAX(0,Fremdkapital*(1+Zins_FK)^$A81-KD_FK_Jahr*((1+Zins_FK)^$A81-1)/Zins_FK)))),"")</f>
        <v/>
      </c>
      <c r="R81" s="58" t="str">
        <f aca="false">IF($B81=1,1/(1+Diskontsatz)^$A81,"")</f>
        <v/>
      </c>
      <c r="S81" s="56" t="str">
        <f aca="false">IF($B81=1,K81*R81,"")</f>
        <v/>
      </c>
      <c r="T81" s="18" t="str">
        <f aca="false">IF($B81=1,IF(K81&gt;0,$A81,""),"")</f>
        <v/>
      </c>
    </row>
    <row r="82" customFormat="false" ht="15" hidden="false" customHeight="false" outlineLevel="0" collapsed="false">
      <c r="A82" s="18" t="n">
        <f aca="false">A81+1</f>
        <v>78</v>
      </c>
      <c r="B82" s="18"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6" t="str">
        <f aca="false">IF($B82=1,J82-G82,"")</f>
        <v/>
      </c>
      <c r="L82" s="57" t="str">
        <f aca="false">IF($B82=1,K82*1000000/Flaeche/12,"")</f>
        <v/>
      </c>
      <c r="M82" s="15" t="str">
        <f aca="false">IF($B82=1,K82*1000000/Wohnungen/12,"")</f>
        <v/>
      </c>
      <c r="N82" s="15" t="str">
        <f aca="false">IF($B82=1,N81+K82,"")</f>
        <v/>
      </c>
      <c r="O82" s="56" t="str">
        <f aca="false">IF($B82=1,G82-I82,"")</f>
        <v/>
      </c>
      <c r="P82" s="19" t="str">
        <f aca="false">IF($B82=1,IF(Nur_Zinsen=1,Eigenkapital,IF($A82&gt;=Laufzeit_EK,0,IF(Zins_EK=0,Eigenkapital*(1-$A82/Laufzeit_EK),MAX(0,Eigenkapital*(1+Zins_EK)^$A82-KD_EK_Jahr*((1+Zins_EK)^$A82-1)/Zins_EK)))),"")</f>
        <v/>
      </c>
      <c r="Q82" s="19" t="str">
        <f aca="false">IF($B82=1,IF(Nur_Zinsen=1,Fremdkapital,IF($A82&gt;=Laufzeit_FK,0,IF(Zins_FK=0,Fremdkapital*(1-$A82/Laufzeit_FK),MAX(0,Fremdkapital*(1+Zins_FK)^$A82-KD_FK_Jahr*((1+Zins_FK)^$A82-1)/Zins_FK)))),"")</f>
        <v/>
      </c>
      <c r="R82" s="58" t="str">
        <f aca="false">IF($B82=1,1/(1+Diskontsatz)^$A82,"")</f>
        <v/>
      </c>
      <c r="S82" s="56" t="str">
        <f aca="false">IF($B82=1,K82*R82,"")</f>
        <v/>
      </c>
      <c r="T82" s="18" t="str">
        <f aca="false">IF($B82=1,IF(K82&gt;0,$A82,""),"")</f>
        <v/>
      </c>
    </row>
    <row r="83" customFormat="false" ht="15" hidden="false" customHeight="false" outlineLevel="0" collapsed="false">
      <c r="A83" s="18" t="n">
        <f aca="false">A82+1</f>
        <v>79</v>
      </c>
      <c r="B83" s="18"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6" t="str">
        <f aca="false">IF($B83=1,J83-G83,"")</f>
        <v/>
      </c>
      <c r="L83" s="57" t="str">
        <f aca="false">IF($B83=1,K83*1000000/Flaeche/12,"")</f>
        <v/>
      </c>
      <c r="M83" s="15" t="str">
        <f aca="false">IF($B83=1,K83*1000000/Wohnungen/12,"")</f>
        <v/>
      </c>
      <c r="N83" s="15" t="str">
        <f aca="false">IF($B83=1,N82+K83,"")</f>
        <v/>
      </c>
      <c r="O83" s="56" t="str">
        <f aca="false">IF($B83=1,G83-I83,"")</f>
        <v/>
      </c>
      <c r="P83" s="19" t="str">
        <f aca="false">IF($B83=1,IF(Nur_Zinsen=1,Eigenkapital,IF($A83&gt;=Laufzeit_EK,0,IF(Zins_EK=0,Eigenkapital*(1-$A83/Laufzeit_EK),MAX(0,Eigenkapital*(1+Zins_EK)^$A83-KD_EK_Jahr*((1+Zins_EK)^$A83-1)/Zins_EK)))),"")</f>
        <v/>
      </c>
      <c r="Q83" s="19" t="str">
        <f aca="false">IF($B83=1,IF(Nur_Zinsen=1,Fremdkapital,IF($A83&gt;=Laufzeit_FK,0,IF(Zins_FK=0,Fremdkapital*(1-$A83/Laufzeit_FK),MAX(0,Fremdkapital*(1+Zins_FK)^$A83-KD_FK_Jahr*((1+Zins_FK)^$A83-1)/Zins_FK)))),"")</f>
        <v/>
      </c>
      <c r="R83" s="58" t="str">
        <f aca="false">IF($B83=1,1/(1+Diskontsatz)^$A83,"")</f>
        <v/>
      </c>
      <c r="S83" s="56" t="str">
        <f aca="false">IF($B83=1,K83*R83,"")</f>
        <v/>
      </c>
      <c r="T83" s="18" t="str">
        <f aca="false">IF($B83=1,IF(K83&gt;0,$A83,""),"")</f>
        <v/>
      </c>
    </row>
    <row r="84" customFormat="false" ht="15" hidden="false" customHeight="false" outlineLevel="0" collapsed="false">
      <c r="A84" s="18" t="n">
        <f aca="false">A83+1</f>
        <v>80</v>
      </c>
      <c r="B84" s="18"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6" t="str">
        <f aca="false">IF($B84=1,J84-G84,"")</f>
        <v/>
      </c>
      <c r="L84" s="57" t="str">
        <f aca="false">IF($B84=1,K84*1000000/Flaeche/12,"")</f>
        <v/>
      </c>
      <c r="M84" s="15" t="str">
        <f aca="false">IF($B84=1,K84*1000000/Wohnungen/12,"")</f>
        <v/>
      </c>
      <c r="N84" s="15" t="str">
        <f aca="false">IF($B84=1,N83+K84,"")</f>
        <v/>
      </c>
      <c r="O84" s="56" t="str">
        <f aca="false">IF($B84=1,G84-I84,"")</f>
        <v/>
      </c>
      <c r="P84" s="19" t="str">
        <f aca="false">IF($B84=1,IF(Nur_Zinsen=1,Eigenkapital,IF($A84&gt;=Laufzeit_EK,0,IF(Zins_EK=0,Eigenkapital*(1-$A84/Laufzeit_EK),MAX(0,Eigenkapital*(1+Zins_EK)^$A84-KD_EK_Jahr*((1+Zins_EK)^$A84-1)/Zins_EK)))),"")</f>
        <v/>
      </c>
      <c r="Q84" s="19" t="str">
        <f aca="false">IF($B84=1,IF(Nur_Zinsen=1,Fremdkapital,IF($A84&gt;=Laufzeit_FK,0,IF(Zins_FK=0,Fremdkapital*(1-$A84/Laufzeit_FK),MAX(0,Fremdkapital*(1+Zins_FK)^$A84-KD_FK_Jahr*((1+Zins_FK)^$A84-1)/Zins_FK)))),"")</f>
        <v/>
      </c>
      <c r="R84" s="58" t="str">
        <f aca="false">IF($B84=1,1/(1+Diskontsatz)^$A84,"")</f>
        <v/>
      </c>
      <c r="S84" s="56" t="str">
        <f aca="false">IF($B84=1,K84*R84,"")</f>
        <v/>
      </c>
      <c r="T84" s="18" t="str">
        <f aca="false">IF($B84=1,IF(K84&gt;0,$A84,""),"")</f>
        <v/>
      </c>
    </row>
    <row r="85" customFormat="false" ht="15" hidden="false" customHeight="false" outlineLevel="0" collapsed="false">
      <c r="A85" s="18" t="n">
        <f aca="false">A84+1</f>
        <v>81</v>
      </c>
      <c r="B85" s="18"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6" t="str">
        <f aca="false">IF($B85=1,J85-G85,"")</f>
        <v/>
      </c>
      <c r="L85" s="57" t="str">
        <f aca="false">IF($B85=1,K85*1000000/Flaeche/12,"")</f>
        <v/>
      </c>
      <c r="M85" s="15" t="str">
        <f aca="false">IF($B85=1,K85*1000000/Wohnungen/12,"")</f>
        <v/>
      </c>
      <c r="N85" s="15" t="str">
        <f aca="false">IF($B85=1,N84+K85,"")</f>
        <v/>
      </c>
      <c r="O85" s="56" t="str">
        <f aca="false">IF($B85=1,G85-I85,"")</f>
        <v/>
      </c>
      <c r="P85" s="19" t="str">
        <f aca="false">IF($B85=1,IF(Nur_Zinsen=1,Eigenkapital,IF($A85&gt;=Laufzeit_EK,0,IF(Zins_EK=0,Eigenkapital*(1-$A85/Laufzeit_EK),MAX(0,Eigenkapital*(1+Zins_EK)^$A85-KD_EK_Jahr*((1+Zins_EK)^$A85-1)/Zins_EK)))),"")</f>
        <v/>
      </c>
      <c r="Q85" s="19" t="str">
        <f aca="false">IF($B85=1,IF(Nur_Zinsen=1,Fremdkapital,IF($A85&gt;=Laufzeit_FK,0,IF(Zins_FK=0,Fremdkapital*(1-$A85/Laufzeit_FK),MAX(0,Fremdkapital*(1+Zins_FK)^$A85-KD_FK_Jahr*((1+Zins_FK)^$A85-1)/Zins_FK)))),"")</f>
        <v/>
      </c>
      <c r="R85" s="58" t="str">
        <f aca="false">IF($B85=1,1/(1+Diskontsatz)^$A85,"")</f>
        <v/>
      </c>
      <c r="S85" s="56" t="str">
        <f aca="false">IF($B85=1,K85*R85,"")</f>
        <v/>
      </c>
      <c r="T85" s="18" t="str">
        <f aca="false">IF($B85=1,IF(K85&gt;0,$A85,""),"")</f>
        <v/>
      </c>
    </row>
    <row r="86" customFormat="false" ht="15" hidden="false" customHeight="false" outlineLevel="0" collapsed="false">
      <c r="A86" s="18" t="n">
        <f aca="false">A85+1</f>
        <v>82</v>
      </c>
      <c r="B86" s="18"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6" t="str">
        <f aca="false">IF($B86=1,J86-G86,"")</f>
        <v/>
      </c>
      <c r="L86" s="57" t="str">
        <f aca="false">IF($B86=1,K86*1000000/Flaeche/12,"")</f>
        <v/>
      </c>
      <c r="M86" s="15" t="str">
        <f aca="false">IF($B86=1,K86*1000000/Wohnungen/12,"")</f>
        <v/>
      </c>
      <c r="N86" s="15" t="str">
        <f aca="false">IF($B86=1,N85+K86,"")</f>
        <v/>
      </c>
      <c r="O86" s="56" t="str">
        <f aca="false">IF($B86=1,G86-I86,"")</f>
        <v/>
      </c>
      <c r="P86" s="19" t="str">
        <f aca="false">IF($B86=1,IF(Nur_Zinsen=1,Eigenkapital,IF($A86&gt;=Laufzeit_EK,0,IF(Zins_EK=0,Eigenkapital*(1-$A86/Laufzeit_EK),MAX(0,Eigenkapital*(1+Zins_EK)^$A86-KD_EK_Jahr*((1+Zins_EK)^$A86-1)/Zins_EK)))),"")</f>
        <v/>
      </c>
      <c r="Q86" s="19" t="str">
        <f aca="false">IF($B86=1,IF(Nur_Zinsen=1,Fremdkapital,IF($A86&gt;=Laufzeit_FK,0,IF(Zins_FK=0,Fremdkapital*(1-$A86/Laufzeit_FK),MAX(0,Fremdkapital*(1+Zins_FK)^$A86-KD_FK_Jahr*((1+Zins_FK)^$A86-1)/Zins_FK)))),"")</f>
        <v/>
      </c>
      <c r="R86" s="58" t="str">
        <f aca="false">IF($B86=1,1/(1+Diskontsatz)^$A86,"")</f>
        <v/>
      </c>
      <c r="S86" s="56" t="str">
        <f aca="false">IF($B86=1,K86*R86,"")</f>
        <v/>
      </c>
      <c r="T86" s="18" t="str">
        <f aca="false">IF($B86=1,IF(K86&gt;0,$A86,""),"")</f>
        <v/>
      </c>
    </row>
    <row r="87" customFormat="false" ht="15" hidden="false" customHeight="false" outlineLevel="0" collapsed="false">
      <c r="A87" s="18" t="n">
        <f aca="false">A86+1</f>
        <v>83</v>
      </c>
      <c r="B87" s="18"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6" t="str">
        <f aca="false">IF($B87=1,J87-G87,"")</f>
        <v/>
      </c>
      <c r="L87" s="57" t="str">
        <f aca="false">IF($B87=1,K87*1000000/Flaeche/12,"")</f>
        <v/>
      </c>
      <c r="M87" s="15" t="str">
        <f aca="false">IF($B87=1,K87*1000000/Wohnungen/12,"")</f>
        <v/>
      </c>
      <c r="N87" s="15" t="str">
        <f aca="false">IF($B87=1,N86+K87,"")</f>
        <v/>
      </c>
      <c r="O87" s="56" t="str">
        <f aca="false">IF($B87=1,G87-I87,"")</f>
        <v/>
      </c>
      <c r="P87" s="19" t="str">
        <f aca="false">IF($B87=1,IF(Nur_Zinsen=1,Eigenkapital,IF($A87&gt;=Laufzeit_EK,0,IF(Zins_EK=0,Eigenkapital*(1-$A87/Laufzeit_EK),MAX(0,Eigenkapital*(1+Zins_EK)^$A87-KD_EK_Jahr*((1+Zins_EK)^$A87-1)/Zins_EK)))),"")</f>
        <v/>
      </c>
      <c r="Q87" s="19" t="str">
        <f aca="false">IF($B87=1,IF(Nur_Zinsen=1,Fremdkapital,IF($A87&gt;=Laufzeit_FK,0,IF(Zins_FK=0,Fremdkapital*(1-$A87/Laufzeit_FK),MAX(0,Fremdkapital*(1+Zins_FK)^$A87-KD_FK_Jahr*((1+Zins_FK)^$A87-1)/Zins_FK)))),"")</f>
        <v/>
      </c>
      <c r="R87" s="58" t="str">
        <f aca="false">IF($B87=1,1/(1+Diskontsatz)^$A87,"")</f>
        <v/>
      </c>
      <c r="S87" s="56" t="str">
        <f aca="false">IF($B87=1,K87*R87,"")</f>
        <v/>
      </c>
      <c r="T87" s="18" t="str">
        <f aca="false">IF($B87=1,IF(K87&gt;0,$A87,""),"")</f>
        <v/>
      </c>
    </row>
    <row r="88" customFormat="false" ht="15" hidden="false" customHeight="false" outlineLevel="0" collapsed="false">
      <c r="A88" s="18" t="n">
        <f aca="false">A87+1</f>
        <v>84</v>
      </c>
      <c r="B88" s="18"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6" t="str">
        <f aca="false">IF($B88=1,J88-G88,"")</f>
        <v/>
      </c>
      <c r="L88" s="57" t="str">
        <f aca="false">IF($B88=1,K88*1000000/Flaeche/12,"")</f>
        <v/>
      </c>
      <c r="M88" s="15" t="str">
        <f aca="false">IF($B88=1,K88*1000000/Wohnungen/12,"")</f>
        <v/>
      </c>
      <c r="N88" s="15" t="str">
        <f aca="false">IF($B88=1,N87+K88,"")</f>
        <v/>
      </c>
      <c r="O88" s="56" t="str">
        <f aca="false">IF($B88=1,G88-I88,"")</f>
        <v/>
      </c>
      <c r="P88" s="19" t="str">
        <f aca="false">IF($B88=1,IF(Nur_Zinsen=1,Eigenkapital,IF($A88&gt;=Laufzeit_EK,0,IF(Zins_EK=0,Eigenkapital*(1-$A88/Laufzeit_EK),MAX(0,Eigenkapital*(1+Zins_EK)^$A88-KD_EK_Jahr*((1+Zins_EK)^$A88-1)/Zins_EK)))),"")</f>
        <v/>
      </c>
      <c r="Q88" s="19" t="str">
        <f aca="false">IF($B88=1,IF(Nur_Zinsen=1,Fremdkapital,IF($A88&gt;=Laufzeit_FK,0,IF(Zins_FK=0,Fremdkapital*(1-$A88/Laufzeit_FK),MAX(0,Fremdkapital*(1+Zins_FK)^$A88-KD_FK_Jahr*((1+Zins_FK)^$A88-1)/Zins_FK)))),"")</f>
        <v/>
      </c>
      <c r="R88" s="58" t="str">
        <f aca="false">IF($B88=1,1/(1+Diskontsatz)^$A88,"")</f>
        <v/>
      </c>
      <c r="S88" s="56" t="str">
        <f aca="false">IF($B88=1,K88*R88,"")</f>
        <v/>
      </c>
      <c r="T88" s="18" t="str">
        <f aca="false">IF($B88=1,IF(K88&gt;0,$A88,""),"")</f>
        <v/>
      </c>
    </row>
    <row r="89" customFormat="false" ht="15" hidden="false" customHeight="false" outlineLevel="0" collapsed="false">
      <c r="A89" s="18" t="n">
        <f aca="false">A88+1</f>
        <v>85</v>
      </c>
      <c r="B89" s="18"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6" t="str">
        <f aca="false">IF($B89=1,J89-G89,"")</f>
        <v/>
      </c>
      <c r="L89" s="57" t="str">
        <f aca="false">IF($B89=1,K89*1000000/Flaeche/12,"")</f>
        <v/>
      </c>
      <c r="M89" s="15" t="str">
        <f aca="false">IF($B89=1,K89*1000000/Wohnungen/12,"")</f>
        <v/>
      </c>
      <c r="N89" s="15" t="str">
        <f aca="false">IF($B89=1,N88+K89,"")</f>
        <v/>
      </c>
      <c r="O89" s="56" t="str">
        <f aca="false">IF($B89=1,G89-I89,"")</f>
        <v/>
      </c>
      <c r="P89" s="19" t="str">
        <f aca="false">IF($B89=1,IF(Nur_Zinsen=1,Eigenkapital,IF($A89&gt;=Laufzeit_EK,0,IF(Zins_EK=0,Eigenkapital*(1-$A89/Laufzeit_EK),MAX(0,Eigenkapital*(1+Zins_EK)^$A89-KD_EK_Jahr*((1+Zins_EK)^$A89-1)/Zins_EK)))),"")</f>
        <v/>
      </c>
      <c r="Q89" s="19" t="str">
        <f aca="false">IF($B89=1,IF(Nur_Zinsen=1,Fremdkapital,IF($A89&gt;=Laufzeit_FK,0,IF(Zins_FK=0,Fremdkapital*(1-$A89/Laufzeit_FK),MAX(0,Fremdkapital*(1+Zins_FK)^$A89-KD_FK_Jahr*((1+Zins_FK)^$A89-1)/Zins_FK)))),"")</f>
        <v/>
      </c>
      <c r="R89" s="58" t="str">
        <f aca="false">IF($B89=1,1/(1+Diskontsatz)^$A89,"")</f>
        <v/>
      </c>
      <c r="S89" s="56" t="str">
        <f aca="false">IF($B89=1,K89*R89,"")</f>
        <v/>
      </c>
      <c r="T89" s="18" t="str">
        <f aca="false">IF($B89=1,IF(K89&gt;0,$A89,""),"")</f>
        <v/>
      </c>
    </row>
    <row r="90" customFormat="false" ht="15" hidden="false" customHeight="false" outlineLevel="0" collapsed="false">
      <c r="A90" s="18" t="n">
        <f aca="false">A89+1</f>
        <v>86</v>
      </c>
      <c r="B90" s="18"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6" t="str">
        <f aca="false">IF($B90=1,J90-G90,"")</f>
        <v/>
      </c>
      <c r="L90" s="57" t="str">
        <f aca="false">IF($B90=1,K90*1000000/Flaeche/12,"")</f>
        <v/>
      </c>
      <c r="M90" s="15" t="str">
        <f aca="false">IF($B90=1,K90*1000000/Wohnungen/12,"")</f>
        <v/>
      </c>
      <c r="N90" s="15" t="str">
        <f aca="false">IF($B90=1,N89+K90,"")</f>
        <v/>
      </c>
      <c r="O90" s="56" t="str">
        <f aca="false">IF($B90=1,G90-I90,"")</f>
        <v/>
      </c>
      <c r="P90" s="19" t="str">
        <f aca="false">IF($B90=1,IF(Nur_Zinsen=1,Eigenkapital,IF($A90&gt;=Laufzeit_EK,0,IF(Zins_EK=0,Eigenkapital*(1-$A90/Laufzeit_EK),MAX(0,Eigenkapital*(1+Zins_EK)^$A90-KD_EK_Jahr*((1+Zins_EK)^$A90-1)/Zins_EK)))),"")</f>
        <v/>
      </c>
      <c r="Q90" s="19" t="str">
        <f aca="false">IF($B90=1,IF(Nur_Zinsen=1,Fremdkapital,IF($A90&gt;=Laufzeit_FK,0,IF(Zins_FK=0,Fremdkapital*(1-$A90/Laufzeit_FK),MAX(0,Fremdkapital*(1+Zins_FK)^$A90-KD_FK_Jahr*((1+Zins_FK)^$A90-1)/Zins_FK)))),"")</f>
        <v/>
      </c>
      <c r="R90" s="58" t="str">
        <f aca="false">IF($B90=1,1/(1+Diskontsatz)^$A90,"")</f>
        <v/>
      </c>
      <c r="S90" s="56" t="str">
        <f aca="false">IF($B90=1,K90*R90,"")</f>
        <v/>
      </c>
      <c r="T90" s="18" t="str">
        <f aca="false">IF($B90=1,IF(K90&gt;0,$A90,""),"")</f>
        <v/>
      </c>
    </row>
    <row r="91" customFormat="false" ht="15" hidden="false" customHeight="false" outlineLevel="0" collapsed="false">
      <c r="A91" s="18" t="n">
        <f aca="false">A90+1</f>
        <v>87</v>
      </c>
      <c r="B91" s="18"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6" t="str">
        <f aca="false">IF($B91=1,J91-G91,"")</f>
        <v/>
      </c>
      <c r="L91" s="57" t="str">
        <f aca="false">IF($B91=1,K91*1000000/Flaeche/12,"")</f>
        <v/>
      </c>
      <c r="M91" s="15" t="str">
        <f aca="false">IF($B91=1,K91*1000000/Wohnungen/12,"")</f>
        <v/>
      </c>
      <c r="N91" s="15" t="str">
        <f aca="false">IF($B91=1,N90+K91,"")</f>
        <v/>
      </c>
      <c r="O91" s="56" t="str">
        <f aca="false">IF($B91=1,G91-I91,"")</f>
        <v/>
      </c>
      <c r="P91" s="19" t="str">
        <f aca="false">IF($B91=1,IF(Nur_Zinsen=1,Eigenkapital,IF($A91&gt;=Laufzeit_EK,0,IF(Zins_EK=0,Eigenkapital*(1-$A91/Laufzeit_EK),MAX(0,Eigenkapital*(1+Zins_EK)^$A91-KD_EK_Jahr*((1+Zins_EK)^$A91-1)/Zins_EK)))),"")</f>
        <v/>
      </c>
      <c r="Q91" s="19" t="str">
        <f aca="false">IF($B91=1,IF(Nur_Zinsen=1,Fremdkapital,IF($A91&gt;=Laufzeit_FK,0,IF(Zins_FK=0,Fremdkapital*(1-$A91/Laufzeit_FK),MAX(0,Fremdkapital*(1+Zins_FK)^$A91-KD_FK_Jahr*((1+Zins_FK)^$A91-1)/Zins_FK)))),"")</f>
        <v/>
      </c>
      <c r="R91" s="58" t="str">
        <f aca="false">IF($B91=1,1/(1+Diskontsatz)^$A91,"")</f>
        <v/>
      </c>
      <c r="S91" s="56" t="str">
        <f aca="false">IF($B91=1,K91*R91,"")</f>
        <v/>
      </c>
      <c r="T91" s="18" t="str">
        <f aca="false">IF($B91=1,IF(K91&gt;0,$A91,""),"")</f>
        <v/>
      </c>
    </row>
    <row r="92" customFormat="false" ht="15" hidden="false" customHeight="false" outlineLevel="0" collapsed="false">
      <c r="A92" s="18" t="n">
        <f aca="false">A91+1</f>
        <v>88</v>
      </c>
      <c r="B92" s="18"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6" t="str">
        <f aca="false">IF($B92=1,J92-G92,"")</f>
        <v/>
      </c>
      <c r="L92" s="57" t="str">
        <f aca="false">IF($B92=1,K92*1000000/Flaeche/12,"")</f>
        <v/>
      </c>
      <c r="M92" s="15" t="str">
        <f aca="false">IF($B92=1,K92*1000000/Wohnungen/12,"")</f>
        <v/>
      </c>
      <c r="N92" s="15" t="str">
        <f aca="false">IF($B92=1,N91+K92,"")</f>
        <v/>
      </c>
      <c r="O92" s="56" t="str">
        <f aca="false">IF($B92=1,G92-I92,"")</f>
        <v/>
      </c>
      <c r="P92" s="19" t="str">
        <f aca="false">IF($B92=1,IF(Nur_Zinsen=1,Eigenkapital,IF($A92&gt;=Laufzeit_EK,0,IF(Zins_EK=0,Eigenkapital*(1-$A92/Laufzeit_EK),MAX(0,Eigenkapital*(1+Zins_EK)^$A92-KD_EK_Jahr*((1+Zins_EK)^$A92-1)/Zins_EK)))),"")</f>
        <v/>
      </c>
      <c r="Q92" s="19" t="str">
        <f aca="false">IF($B92=1,IF(Nur_Zinsen=1,Fremdkapital,IF($A92&gt;=Laufzeit_FK,0,IF(Zins_FK=0,Fremdkapital*(1-$A92/Laufzeit_FK),MAX(0,Fremdkapital*(1+Zins_FK)^$A92-KD_FK_Jahr*((1+Zins_FK)^$A92-1)/Zins_FK)))),"")</f>
        <v/>
      </c>
      <c r="R92" s="58" t="str">
        <f aca="false">IF($B92=1,1/(1+Diskontsatz)^$A92,"")</f>
        <v/>
      </c>
      <c r="S92" s="56" t="str">
        <f aca="false">IF($B92=1,K92*R92,"")</f>
        <v/>
      </c>
      <c r="T92" s="18" t="str">
        <f aca="false">IF($B92=1,IF(K92&gt;0,$A92,""),"")</f>
        <v/>
      </c>
    </row>
    <row r="93" customFormat="false" ht="15" hidden="false" customHeight="false" outlineLevel="0" collapsed="false">
      <c r="A93" s="18" t="n">
        <f aca="false">A92+1</f>
        <v>89</v>
      </c>
      <c r="B93" s="18"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6" t="str">
        <f aca="false">IF($B93=1,J93-G93,"")</f>
        <v/>
      </c>
      <c r="L93" s="57" t="str">
        <f aca="false">IF($B93=1,K93*1000000/Flaeche/12,"")</f>
        <v/>
      </c>
      <c r="M93" s="15" t="str">
        <f aca="false">IF($B93=1,K93*1000000/Wohnungen/12,"")</f>
        <v/>
      </c>
      <c r="N93" s="15" t="str">
        <f aca="false">IF($B93=1,N92+K93,"")</f>
        <v/>
      </c>
      <c r="O93" s="56" t="str">
        <f aca="false">IF($B93=1,G93-I93,"")</f>
        <v/>
      </c>
      <c r="P93" s="19" t="str">
        <f aca="false">IF($B93=1,IF(Nur_Zinsen=1,Eigenkapital,IF($A93&gt;=Laufzeit_EK,0,IF(Zins_EK=0,Eigenkapital*(1-$A93/Laufzeit_EK),MAX(0,Eigenkapital*(1+Zins_EK)^$A93-KD_EK_Jahr*((1+Zins_EK)^$A93-1)/Zins_EK)))),"")</f>
        <v/>
      </c>
      <c r="Q93" s="19" t="str">
        <f aca="false">IF($B93=1,IF(Nur_Zinsen=1,Fremdkapital,IF($A93&gt;=Laufzeit_FK,0,IF(Zins_FK=0,Fremdkapital*(1-$A93/Laufzeit_FK),MAX(0,Fremdkapital*(1+Zins_FK)^$A93-KD_FK_Jahr*((1+Zins_FK)^$A93-1)/Zins_FK)))),"")</f>
        <v/>
      </c>
      <c r="R93" s="58" t="str">
        <f aca="false">IF($B93=1,1/(1+Diskontsatz)^$A93,"")</f>
        <v/>
      </c>
      <c r="S93" s="56" t="str">
        <f aca="false">IF($B93=1,K93*R93,"")</f>
        <v/>
      </c>
      <c r="T93" s="18" t="str">
        <f aca="false">IF($B93=1,IF(K93&gt;0,$A93,""),"")</f>
        <v/>
      </c>
    </row>
    <row r="94" customFormat="false" ht="15" hidden="false" customHeight="false" outlineLevel="0" collapsed="false">
      <c r="A94" s="18" t="n">
        <f aca="false">A93+1</f>
        <v>90</v>
      </c>
      <c r="B94" s="18"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6" t="str">
        <f aca="false">IF($B94=1,J94-G94,"")</f>
        <v/>
      </c>
      <c r="L94" s="57" t="str">
        <f aca="false">IF($B94=1,K94*1000000/Flaeche/12,"")</f>
        <v/>
      </c>
      <c r="M94" s="15" t="str">
        <f aca="false">IF($B94=1,K94*1000000/Wohnungen/12,"")</f>
        <v/>
      </c>
      <c r="N94" s="15" t="str">
        <f aca="false">IF($B94=1,N93+K94,"")</f>
        <v/>
      </c>
      <c r="O94" s="56" t="str">
        <f aca="false">IF($B94=1,G94-I94,"")</f>
        <v/>
      </c>
      <c r="P94" s="19" t="str">
        <f aca="false">IF($B94=1,IF(Nur_Zinsen=1,Eigenkapital,IF($A94&gt;=Laufzeit_EK,0,IF(Zins_EK=0,Eigenkapital*(1-$A94/Laufzeit_EK),MAX(0,Eigenkapital*(1+Zins_EK)^$A94-KD_EK_Jahr*((1+Zins_EK)^$A94-1)/Zins_EK)))),"")</f>
        <v/>
      </c>
      <c r="Q94" s="19" t="str">
        <f aca="false">IF($B94=1,IF(Nur_Zinsen=1,Fremdkapital,IF($A94&gt;=Laufzeit_FK,0,IF(Zins_FK=0,Fremdkapital*(1-$A94/Laufzeit_FK),MAX(0,Fremdkapital*(1+Zins_FK)^$A94-KD_FK_Jahr*((1+Zins_FK)^$A94-1)/Zins_FK)))),"")</f>
        <v/>
      </c>
      <c r="R94" s="58" t="str">
        <f aca="false">IF($B94=1,1/(1+Diskontsatz)^$A94,"")</f>
        <v/>
      </c>
      <c r="S94" s="56" t="str">
        <f aca="false">IF($B94=1,K94*R94,"")</f>
        <v/>
      </c>
      <c r="T94" s="18" t="str">
        <f aca="false">IF($B94=1,IF(K94&gt;0,$A94,""),"")</f>
        <v/>
      </c>
    </row>
    <row r="95" customFormat="false" ht="15" hidden="false" customHeight="false" outlineLevel="0" collapsed="false">
      <c r="A95" s="18" t="n">
        <f aca="false">A94+1</f>
        <v>91</v>
      </c>
      <c r="B95" s="18"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6" t="str">
        <f aca="false">IF($B95=1,J95-G95,"")</f>
        <v/>
      </c>
      <c r="L95" s="57" t="str">
        <f aca="false">IF($B95=1,K95*1000000/Flaeche/12,"")</f>
        <v/>
      </c>
      <c r="M95" s="15" t="str">
        <f aca="false">IF($B95=1,K95*1000000/Wohnungen/12,"")</f>
        <v/>
      </c>
      <c r="N95" s="15" t="str">
        <f aca="false">IF($B95=1,N94+K95,"")</f>
        <v/>
      </c>
      <c r="O95" s="56" t="str">
        <f aca="false">IF($B95=1,G95-I95,"")</f>
        <v/>
      </c>
      <c r="P95" s="19" t="str">
        <f aca="false">IF($B95=1,IF(Nur_Zinsen=1,Eigenkapital,IF($A95&gt;=Laufzeit_EK,0,IF(Zins_EK=0,Eigenkapital*(1-$A95/Laufzeit_EK),MAX(0,Eigenkapital*(1+Zins_EK)^$A95-KD_EK_Jahr*((1+Zins_EK)^$A95-1)/Zins_EK)))),"")</f>
        <v/>
      </c>
      <c r="Q95" s="19" t="str">
        <f aca="false">IF($B95=1,IF(Nur_Zinsen=1,Fremdkapital,IF($A95&gt;=Laufzeit_FK,0,IF(Zins_FK=0,Fremdkapital*(1-$A95/Laufzeit_FK),MAX(0,Fremdkapital*(1+Zins_FK)^$A95-KD_FK_Jahr*((1+Zins_FK)^$A95-1)/Zins_FK)))),"")</f>
        <v/>
      </c>
      <c r="R95" s="58" t="str">
        <f aca="false">IF($B95=1,1/(1+Diskontsatz)^$A95,"")</f>
        <v/>
      </c>
      <c r="S95" s="56" t="str">
        <f aca="false">IF($B95=1,K95*R95,"")</f>
        <v/>
      </c>
      <c r="T95" s="18" t="str">
        <f aca="false">IF($B95=1,IF(K95&gt;0,$A95,""),"")</f>
        <v/>
      </c>
    </row>
    <row r="96" customFormat="false" ht="15" hidden="false" customHeight="false" outlineLevel="0" collapsed="false">
      <c r="A96" s="18" t="n">
        <f aca="false">A95+1</f>
        <v>92</v>
      </c>
      <c r="B96" s="18"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6" t="str">
        <f aca="false">IF($B96=1,J96-G96,"")</f>
        <v/>
      </c>
      <c r="L96" s="57" t="str">
        <f aca="false">IF($B96=1,K96*1000000/Flaeche/12,"")</f>
        <v/>
      </c>
      <c r="M96" s="15" t="str">
        <f aca="false">IF($B96=1,K96*1000000/Wohnungen/12,"")</f>
        <v/>
      </c>
      <c r="N96" s="15" t="str">
        <f aca="false">IF($B96=1,N95+K96,"")</f>
        <v/>
      </c>
      <c r="O96" s="56" t="str">
        <f aca="false">IF($B96=1,G96-I96,"")</f>
        <v/>
      </c>
      <c r="P96" s="19" t="str">
        <f aca="false">IF($B96=1,IF(Nur_Zinsen=1,Eigenkapital,IF($A96&gt;=Laufzeit_EK,0,IF(Zins_EK=0,Eigenkapital*(1-$A96/Laufzeit_EK),MAX(0,Eigenkapital*(1+Zins_EK)^$A96-KD_EK_Jahr*((1+Zins_EK)^$A96-1)/Zins_EK)))),"")</f>
        <v/>
      </c>
      <c r="Q96" s="19" t="str">
        <f aca="false">IF($B96=1,IF(Nur_Zinsen=1,Fremdkapital,IF($A96&gt;=Laufzeit_FK,0,IF(Zins_FK=0,Fremdkapital*(1-$A96/Laufzeit_FK),MAX(0,Fremdkapital*(1+Zins_FK)^$A96-KD_FK_Jahr*((1+Zins_FK)^$A96-1)/Zins_FK)))),"")</f>
        <v/>
      </c>
      <c r="R96" s="58" t="str">
        <f aca="false">IF($B96=1,1/(1+Diskontsatz)^$A96,"")</f>
        <v/>
      </c>
      <c r="S96" s="56" t="str">
        <f aca="false">IF($B96=1,K96*R96,"")</f>
        <v/>
      </c>
      <c r="T96" s="18" t="str">
        <f aca="false">IF($B96=1,IF(K96&gt;0,$A96,""),"")</f>
        <v/>
      </c>
    </row>
    <row r="97" customFormat="false" ht="15" hidden="false" customHeight="false" outlineLevel="0" collapsed="false">
      <c r="A97" s="18" t="n">
        <f aca="false">A96+1</f>
        <v>93</v>
      </c>
      <c r="B97" s="18"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6" t="str">
        <f aca="false">IF($B97=1,J97-G97,"")</f>
        <v/>
      </c>
      <c r="L97" s="57" t="str">
        <f aca="false">IF($B97=1,K97*1000000/Flaeche/12,"")</f>
        <v/>
      </c>
      <c r="M97" s="15" t="str">
        <f aca="false">IF($B97=1,K97*1000000/Wohnungen/12,"")</f>
        <v/>
      </c>
      <c r="N97" s="15" t="str">
        <f aca="false">IF($B97=1,N96+K97,"")</f>
        <v/>
      </c>
      <c r="O97" s="56" t="str">
        <f aca="false">IF($B97=1,G97-I97,"")</f>
        <v/>
      </c>
      <c r="P97" s="19" t="str">
        <f aca="false">IF($B97=1,IF(Nur_Zinsen=1,Eigenkapital,IF($A97&gt;=Laufzeit_EK,0,IF(Zins_EK=0,Eigenkapital*(1-$A97/Laufzeit_EK),MAX(0,Eigenkapital*(1+Zins_EK)^$A97-KD_EK_Jahr*((1+Zins_EK)^$A97-1)/Zins_EK)))),"")</f>
        <v/>
      </c>
      <c r="Q97" s="19" t="str">
        <f aca="false">IF($B97=1,IF(Nur_Zinsen=1,Fremdkapital,IF($A97&gt;=Laufzeit_FK,0,IF(Zins_FK=0,Fremdkapital*(1-$A97/Laufzeit_FK),MAX(0,Fremdkapital*(1+Zins_FK)^$A97-KD_FK_Jahr*((1+Zins_FK)^$A97-1)/Zins_FK)))),"")</f>
        <v/>
      </c>
      <c r="R97" s="58" t="str">
        <f aca="false">IF($B97=1,1/(1+Diskontsatz)^$A97,"")</f>
        <v/>
      </c>
      <c r="S97" s="56" t="str">
        <f aca="false">IF($B97=1,K97*R97,"")</f>
        <v/>
      </c>
      <c r="T97" s="18" t="str">
        <f aca="false">IF($B97=1,IF(K97&gt;0,$A97,""),"")</f>
        <v/>
      </c>
    </row>
    <row r="98" customFormat="false" ht="15" hidden="false" customHeight="false" outlineLevel="0" collapsed="false">
      <c r="A98" s="18" t="n">
        <f aca="false">A97+1</f>
        <v>94</v>
      </c>
      <c r="B98" s="18"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6" t="str">
        <f aca="false">IF($B98=1,J98-G98,"")</f>
        <v/>
      </c>
      <c r="L98" s="57" t="str">
        <f aca="false">IF($B98=1,K98*1000000/Flaeche/12,"")</f>
        <v/>
      </c>
      <c r="M98" s="15" t="str">
        <f aca="false">IF($B98=1,K98*1000000/Wohnungen/12,"")</f>
        <v/>
      </c>
      <c r="N98" s="15" t="str">
        <f aca="false">IF($B98=1,N97+K98,"")</f>
        <v/>
      </c>
      <c r="O98" s="56" t="str">
        <f aca="false">IF($B98=1,G98-I98,"")</f>
        <v/>
      </c>
      <c r="P98" s="19" t="str">
        <f aca="false">IF($B98=1,IF(Nur_Zinsen=1,Eigenkapital,IF($A98&gt;=Laufzeit_EK,0,IF(Zins_EK=0,Eigenkapital*(1-$A98/Laufzeit_EK),MAX(0,Eigenkapital*(1+Zins_EK)^$A98-KD_EK_Jahr*((1+Zins_EK)^$A98-1)/Zins_EK)))),"")</f>
        <v/>
      </c>
      <c r="Q98" s="19" t="str">
        <f aca="false">IF($B98=1,IF(Nur_Zinsen=1,Fremdkapital,IF($A98&gt;=Laufzeit_FK,0,IF(Zins_FK=0,Fremdkapital*(1-$A98/Laufzeit_FK),MAX(0,Fremdkapital*(1+Zins_FK)^$A98-KD_FK_Jahr*((1+Zins_FK)^$A98-1)/Zins_FK)))),"")</f>
        <v/>
      </c>
      <c r="R98" s="58" t="str">
        <f aca="false">IF($B98=1,1/(1+Diskontsatz)^$A98,"")</f>
        <v/>
      </c>
      <c r="S98" s="56" t="str">
        <f aca="false">IF($B98=1,K98*R98,"")</f>
        <v/>
      </c>
      <c r="T98" s="18" t="str">
        <f aca="false">IF($B98=1,IF(K98&gt;0,$A98,""),"")</f>
        <v/>
      </c>
    </row>
    <row r="99" customFormat="false" ht="15" hidden="false" customHeight="false" outlineLevel="0" collapsed="false">
      <c r="A99" s="18" t="n">
        <f aca="false">A98+1</f>
        <v>95</v>
      </c>
      <c r="B99" s="18"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6" t="str">
        <f aca="false">IF($B99=1,J99-G99,"")</f>
        <v/>
      </c>
      <c r="L99" s="57" t="str">
        <f aca="false">IF($B99=1,K99*1000000/Flaeche/12,"")</f>
        <v/>
      </c>
      <c r="M99" s="15" t="str">
        <f aca="false">IF($B99=1,K99*1000000/Wohnungen/12,"")</f>
        <v/>
      </c>
      <c r="N99" s="15" t="str">
        <f aca="false">IF($B99=1,N98+K99,"")</f>
        <v/>
      </c>
      <c r="O99" s="56" t="str">
        <f aca="false">IF($B99=1,G99-I99,"")</f>
        <v/>
      </c>
      <c r="P99" s="19" t="str">
        <f aca="false">IF($B99=1,IF(Nur_Zinsen=1,Eigenkapital,IF($A99&gt;=Laufzeit_EK,0,IF(Zins_EK=0,Eigenkapital*(1-$A99/Laufzeit_EK),MAX(0,Eigenkapital*(1+Zins_EK)^$A99-KD_EK_Jahr*((1+Zins_EK)^$A99-1)/Zins_EK)))),"")</f>
        <v/>
      </c>
      <c r="Q99" s="19" t="str">
        <f aca="false">IF($B99=1,IF(Nur_Zinsen=1,Fremdkapital,IF($A99&gt;=Laufzeit_FK,0,IF(Zins_FK=0,Fremdkapital*(1-$A99/Laufzeit_FK),MAX(0,Fremdkapital*(1+Zins_FK)^$A99-KD_FK_Jahr*((1+Zins_FK)^$A99-1)/Zins_FK)))),"")</f>
        <v/>
      </c>
      <c r="R99" s="58" t="str">
        <f aca="false">IF($B99=1,1/(1+Diskontsatz)^$A99,"")</f>
        <v/>
      </c>
      <c r="S99" s="56" t="str">
        <f aca="false">IF($B99=1,K99*R99,"")</f>
        <v/>
      </c>
      <c r="T99" s="18" t="str">
        <f aca="false">IF($B99=1,IF(K99&gt;0,$A99,""),"")</f>
        <v/>
      </c>
    </row>
    <row r="100" customFormat="false" ht="15" hidden="false" customHeight="false" outlineLevel="0" collapsed="false">
      <c r="A100" s="18" t="n">
        <f aca="false">A99+1</f>
        <v>96</v>
      </c>
      <c r="B100" s="18"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6" t="str">
        <f aca="false">IF($B100=1,J100-G100,"")</f>
        <v/>
      </c>
      <c r="L100" s="57" t="str">
        <f aca="false">IF($B100=1,K100*1000000/Flaeche/12,"")</f>
        <v/>
      </c>
      <c r="M100" s="15" t="str">
        <f aca="false">IF($B100=1,K100*1000000/Wohnungen/12,"")</f>
        <v/>
      </c>
      <c r="N100" s="15" t="str">
        <f aca="false">IF($B100=1,N99+K100,"")</f>
        <v/>
      </c>
      <c r="O100" s="56" t="str">
        <f aca="false">IF($B100=1,G100-I100,"")</f>
        <v/>
      </c>
      <c r="P100" s="19" t="str">
        <f aca="false">IF($B100=1,IF(Nur_Zinsen=1,Eigenkapital,IF($A100&gt;=Laufzeit_EK,0,IF(Zins_EK=0,Eigenkapital*(1-$A100/Laufzeit_EK),MAX(0,Eigenkapital*(1+Zins_EK)^$A100-KD_EK_Jahr*((1+Zins_EK)^$A100-1)/Zins_EK)))),"")</f>
        <v/>
      </c>
      <c r="Q100" s="19" t="str">
        <f aca="false">IF($B100=1,IF(Nur_Zinsen=1,Fremdkapital,IF($A100&gt;=Laufzeit_FK,0,IF(Zins_FK=0,Fremdkapital*(1-$A100/Laufzeit_FK),MAX(0,Fremdkapital*(1+Zins_FK)^$A100-KD_FK_Jahr*((1+Zins_FK)^$A100-1)/Zins_FK)))),"")</f>
        <v/>
      </c>
      <c r="R100" s="58" t="str">
        <f aca="false">IF($B100=1,1/(1+Diskontsatz)^$A100,"")</f>
        <v/>
      </c>
      <c r="S100" s="56" t="str">
        <f aca="false">IF($B100=1,K100*R100,"")</f>
        <v/>
      </c>
      <c r="T100" s="18" t="str">
        <f aca="false">IF($B100=1,IF(K100&gt;0,$A100,""),"")</f>
        <v/>
      </c>
    </row>
    <row r="101" customFormat="false" ht="15" hidden="false" customHeight="false" outlineLevel="0" collapsed="false">
      <c r="A101" s="18" t="n">
        <f aca="false">A100+1</f>
        <v>97</v>
      </c>
      <c r="B101" s="18"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6" t="str">
        <f aca="false">IF($B101=1,J101-G101,"")</f>
        <v/>
      </c>
      <c r="L101" s="57" t="str">
        <f aca="false">IF($B101=1,K101*1000000/Flaeche/12,"")</f>
        <v/>
      </c>
      <c r="M101" s="15" t="str">
        <f aca="false">IF($B101=1,K101*1000000/Wohnungen/12,"")</f>
        <v/>
      </c>
      <c r="N101" s="15" t="str">
        <f aca="false">IF($B101=1,N100+K101,"")</f>
        <v/>
      </c>
      <c r="O101" s="56" t="str">
        <f aca="false">IF($B101=1,G101-I101,"")</f>
        <v/>
      </c>
      <c r="P101" s="19" t="str">
        <f aca="false">IF($B101=1,IF(Nur_Zinsen=1,Eigenkapital,IF($A101&gt;=Laufzeit_EK,0,IF(Zins_EK=0,Eigenkapital*(1-$A101/Laufzeit_EK),MAX(0,Eigenkapital*(1+Zins_EK)^$A101-KD_EK_Jahr*((1+Zins_EK)^$A101-1)/Zins_EK)))),"")</f>
        <v/>
      </c>
      <c r="Q101" s="19" t="str">
        <f aca="false">IF($B101=1,IF(Nur_Zinsen=1,Fremdkapital,IF($A101&gt;=Laufzeit_FK,0,IF(Zins_FK=0,Fremdkapital*(1-$A101/Laufzeit_FK),MAX(0,Fremdkapital*(1+Zins_FK)^$A101-KD_FK_Jahr*((1+Zins_FK)^$A101-1)/Zins_FK)))),"")</f>
        <v/>
      </c>
      <c r="R101" s="58" t="str">
        <f aca="false">IF($B101=1,1/(1+Diskontsatz)^$A101,"")</f>
        <v/>
      </c>
      <c r="S101" s="56" t="str">
        <f aca="false">IF($B101=1,K101*R101,"")</f>
        <v/>
      </c>
      <c r="T101" s="18" t="str">
        <f aca="false">IF($B101=1,IF(K101&gt;0,$A101,""),"")</f>
        <v/>
      </c>
    </row>
    <row r="102" customFormat="false" ht="15" hidden="false" customHeight="false" outlineLevel="0" collapsed="false">
      <c r="A102" s="18" t="n">
        <f aca="false">A101+1</f>
        <v>98</v>
      </c>
      <c r="B102" s="18"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6" t="str">
        <f aca="false">IF($B102=1,J102-G102,"")</f>
        <v/>
      </c>
      <c r="L102" s="57" t="str">
        <f aca="false">IF($B102=1,K102*1000000/Flaeche/12,"")</f>
        <v/>
      </c>
      <c r="M102" s="15" t="str">
        <f aca="false">IF($B102=1,K102*1000000/Wohnungen/12,"")</f>
        <v/>
      </c>
      <c r="N102" s="15" t="str">
        <f aca="false">IF($B102=1,N101+K102,"")</f>
        <v/>
      </c>
      <c r="O102" s="56" t="str">
        <f aca="false">IF($B102=1,G102-I102,"")</f>
        <v/>
      </c>
      <c r="P102" s="19" t="str">
        <f aca="false">IF($B102=1,IF(Nur_Zinsen=1,Eigenkapital,IF($A102&gt;=Laufzeit_EK,0,IF(Zins_EK=0,Eigenkapital*(1-$A102/Laufzeit_EK),MAX(0,Eigenkapital*(1+Zins_EK)^$A102-KD_EK_Jahr*((1+Zins_EK)^$A102-1)/Zins_EK)))),"")</f>
        <v/>
      </c>
      <c r="Q102" s="19" t="str">
        <f aca="false">IF($B102=1,IF(Nur_Zinsen=1,Fremdkapital,IF($A102&gt;=Laufzeit_FK,0,IF(Zins_FK=0,Fremdkapital*(1-$A102/Laufzeit_FK),MAX(0,Fremdkapital*(1+Zins_FK)^$A102-KD_FK_Jahr*((1+Zins_FK)^$A102-1)/Zins_FK)))),"")</f>
        <v/>
      </c>
      <c r="R102" s="58" t="str">
        <f aca="false">IF($B102=1,1/(1+Diskontsatz)^$A102,"")</f>
        <v/>
      </c>
      <c r="S102" s="56" t="str">
        <f aca="false">IF($B102=1,K102*R102,"")</f>
        <v/>
      </c>
      <c r="T102" s="18" t="str">
        <f aca="false">IF($B102=1,IF(K102&gt;0,$A102,""),"")</f>
        <v/>
      </c>
    </row>
    <row r="103" customFormat="false" ht="15" hidden="false" customHeight="false" outlineLevel="0" collapsed="false">
      <c r="A103" s="18" t="n">
        <f aca="false">A102+1</f>
        <v>99</v>
      </c>
      <c r="B103" s="18"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6" t="str">
        <f aca="false">IF($B103=1,J103-G103,"")</f>
        <v/>
      </c>
      <c r="L103" s="57" t="str">
        <f aca="false">IF($B103=1,K103*1000000/Flaeche/12,"")</f>
        <v/>
      </c>
      <c r="M103" s="15" t="str">
        <f aca="false">IF($B103=1,K103*1000000/Wohnungen/12,"")</f>
        <v/>
      </c>
      <c r="N103" s="15" t="str">
        <f aca="false">IF($B103=1,N102+K103,"")</f>
        <v/>
      </c>
      <c r="O103" s="56" t="str">
        <f aca="false">IF($B103=1,G103-I103,"")</f>
        <v/>
      </c>
      <c r="P103" s="19" t="str">
        <f aca="false">IF($B103=1,IF(Nur_Zinsen=1,Eigenkapital,IF($A103&gt;=Laufzeit_EK,0,IF(Zins_EK=0,Eigenkapital*(1-$A103/Laufzeit_EK),MAX(0,Eigenkapital*(1+Zins_EK)^$A103-KD_EK_Jahr*((1+Zins_EK)^$A103-1)/Zins_EK)))),"")</f>
        <v/>
      </c>
      <c r="Q103" s="19" t="str">
        <f aca="false">IF($B103=1,IF(Nur_Zinsen=1,Fremdkapital,IF($A103&gt;=Laufzeit_FK,0,IF(Zins_FK=0,Fremdkapital*(1-$A103/Laufzeit_FK),MAX(0,Fremdkapital*(1+Zins_FK)^$A103-KD_FK_Jahr*((1+Zins_FK)^$A103-1)/Zins_FK)))),"")</f>
        <v/>
      </c>
      <c r="R103" s="58" t="str">
        <f aca="false">IF($B103=1,1/(1+Diskontsatz)^$A103,"")</f>
        <v/>
      </c>
      <c r="S103" s="56" t="str">
        <f aca="false">IF($B103=1,K103*R103,"")</f>
        <v/>
      </c>
      <c r="T103" s="18" t="str">
        <f aca="false">IF($B103=1,IF(K103&gt;0,$A103,""),"")</f>
        <v/>
      </c>
    </row>
    <row r="104" customFormat="false" ht="15" hidden="false" customHeight="false" outlineLevel="0" collapsed="false">
      <c r="A104" s="18" t="n">
        <f aca="false">A103+1</f>
        <v>100</v>
      </c>
      <c r="B104" s="18"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6" t="str">
        <f aca="false">IF($B104=1,J104-G104,"")</f>
        <v/>
      </c>
      <c r="L104" s="57" t="str">
        <f aca="false">IF($B104=1,K104*1000000/Flaeche/12,"")</f>
        <v/>
      </c>
      <c r="M104" s="15" t="str">
        <f aca="false">IF($B104=1,K104*1000000/Wohnungen/12,"")</f>
        <v/>
      </c>
      <c r="N104" s="15" t="str">
        <f aca="false">IF($B104=1,N103+K104,"")</f>
        <v/>
      </c>
      <c r="O104" s="56" t="str">
        <f aca="false">IF($B104=1,G104-I104,"")</f>
        <v/>
      </c>
      <c r="P104" s="19" t="str">
        <f aca="false">IF($B104=1,IF(Nur_Zinsen=1,Eigenkapital,IF($A104&gt;=Laufzeit_EK,0,IF(Zins_EK=0,Eigenkapital*(1-$A104/Laufzeit_EK),MAX(0,Eigenkapital*(1+Zins_EK)^$A104-KD_EK_Jahr*((1+Zins_EK)^$A104-1)/Zins_EK)))),"")</f>
        <v/>
      </c>
      <c r="Q104" s="19" t="str">
        <f aca="false">IF($B104=1,IF(Nur_Zinsen=1,Fremdkapital,IF($A104&gt;=Laufzeit_FK,0,IF(Zins_FK=0,Fremdkapital*(1-$A104/Laufzeit_FK),MAX(0,Fremdkapital*(1+Zins_FK)^$A104-KD_FK_Jahr*((1+Zins_FK)^$A104-1)/Zins_FK)))),"")</f>
        <v/>
      </c>
      <c r="R104" s="58" t="str">
        <f aca="false">IF($B104=1,1/(1+Diskontsatz)^$A104,"")</f>
        <v/>
      </c>
      <c r="S104" s="56" t="str">
        <f aca="false">IF($B104=1,K104*R104,"")</f>
        <v/>
      </c>
      <c r="T104" s="18" t="str">
        <f aca="false">IF($B104=1,IF(K104&gt;0,$A104,""),"")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181</v>
      </c>
    </row>
    <row r="3" customFormat="false" ht="15" hidden="false" customHeight="false" outlineLevel="0" collapsed="false">
      <c r="B3" s="3" t="s">
        <v>182</v>
      </c>
    </row>
    <row r="4" customFormat="false" ht="15" hidden="false" customHeight="false" outlineLevel="0" collapsed="false">
      <c r="B4" s="3" t="s">
        <v>183</v>
      </c>
    </row>
    <row r="5" customFormat="false" ht="15" hidden="false" customHeight="false" outlineLevel="0" collapsed="false">
      <c r="B5" s="3" t="s">
        <v>184</v>
      </c>
    </row>
    <row r="6" customFormat="false" ht="15" hidden="false" customHeight="false" outlineLevel="0" collapsed="false">
      <c r="B6" s="3" t="s">
        <v>185</v>
      </c>
    </row>
    <row r="7" customFormat="false" ht="15" hidden="false" customHeight="false" outlineLevel="0" collapsed="false">
      <c r="B7" s="3" t="s">
        <v>186</v>
      </c>
    </row>
    <row r="8" customFormat="false" ht="15" hidden="false" customHeight="false" outlineLevel="0" collapsed="false">
      <c r="B8" s="3" t="s">
        <v>187</v>
      </c>
    </row>
    <row r="9" customFormat="false" ht="15" hidden="false" customHeight="false" outlineLevel="0" collapsed="false">
      <c r="B9" s="3" t="s">
        <v>188</v>
      </c>
    </row>
    <row r="10" customFormat="false" ht="15" hidden="false" customHeight="false" outlineLevel="0" collapsed="false">
      <c r="B10" s="3" t="s">
        <v>189</v>
      </c>
    </row>
    <row r="11" customFormat="false" ht="15" hidden="false" customHeight="false" outlineLevel="0" collapsed="false">
      <c r="B11" s="3" t="s">
        <v>190</v>
      </c>
    </row>
    <row r="12" customFormat="false" ht="15" hidden="false" customHeight="false" outlineLevel="0" collapsed="false">
      <c r="B12" s="3" t="s">
        <v>191</v>
      </c>
    </row>
    <row r="13" customFormat="false" ht="15" hidden="false" customHeight="false" outlineLevel="0" collapsed="false">
      <c r="B13" s="3" t="s">
        <v>192</v>
      </c>
    </row>
    <row r="14" customFormat="false" ht="15" hidden="false" customHeight="false" outlineLevel="0" collapsed="false">
      <c r="B14" s="3" t="s">
        <v>193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2026-10-26T08:43:10Z</dcterms:created>
  <dc:creator>openpyxl</dc:creator>
  <dc:description/>
  <dc:language>en-US</dc:language>
  <cp:lastModifiedBy/>
  <dcterms:modified xsi:type="dcterms:W3CDTF">2026-10-26T08:43:10Z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